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14B32894-1613-4F6A-A5C8-95743DA42D9F}" xr6:coauthVersionLast="47" xr6:coauthVersionMax="47" xr10:uidLastSave="{00000000-0000-0000-0000-000000000000}"/>
  <bookViews>
    <workbookView xWindow="-108" yWindow="-108" windowWidth="23256" windowHeight="12576" firstSheet="1" activeTab="3" xr2:uid="{00000000-000D-0000-FFFF-FFFF00000000}"/>
  </bookViews>
  <sheets>
    <sheet name="_Lists" sheetId="1" r:id="rId1"/>
    <sheet name="README" sheetId="2" r:id="rId2"/>
    <sheet name="Inventory_Metadata" sheetId="3" r:id="rId3"/>
    <sheet name="Parameters" sheetId="4" r:id="rId4"/>
    <sheet name="Manure_Management" sheetId="5" r:id="rId5"/>
    <sheet name="Parameter_TimeSeries" sheetId="6" r:id="rId6"/>
    <sheet name="Vocab" sheetId="7" r:id="rId7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0.01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0</definedName>
    <definedName name="_AtRisk_SimSetting_RandomNumberGenerator" hidden="1">0</definedName>
    <definedName name="_AtRisk_SimSetting_ReportOptionCustomItemCumulativeOverlay01" hidden="1">0</definedName>
    <definedName name="_AtRisk_SimSetting_ReportOptionCustomItemCumulativeOverlay02" hidden="1">0</definedName>
    <definedName name="_AtRisk_SimSetting_ReportOptionCustomItemCumulativeOverlay03" hidden="1">0</definedName>
    <definedName name="_AtRisk_SimSetting_ReportOptionCustomItemCumulativeOverlay04" hidden="1">0</definedName>
    <definedName name="_AtRisk_SimSetting_ReportOptionCustomItemCumulativeOverlay05" hidden="1">0</definedName>
    <definedName name="_AtRisk_SimSetting_ReportOptionCustomItemCumulativeOverlay06" hidden="1">0</definedName>
    <definedName name="_AtRisk_SimSetting_ReportOptionCustomItemDistributionFormat01" hidden="1">1</definedName>
    <definedName name="_AtRisk_SimSetting_ReportOptionCustomItemDistributionFormat02" hidden="1">1</definedName>
    <definedName name="_AtRisk_SimSetting_ReportOptionCustomItemDistributionFormat03" hidden="1">4</definedName>
    <definedName name="_AtRisk_SimSetting_ReportOptionCustomItemDistributionFormat04" hidden="1">1</definedName>
    <definedName name="_AtRisk_SimSetting_ReportOptionCustomItemDistributionFormat05" hidden="1">1</definedName>
    <definedName name="_AtRisk_SimSetting_ReportOptionCustomItemDistributionFormat06" hidden="1">1</definedName>
    <definedName name="_AtRisk_SimSetting_ReportOptionCustomItemGraphFormat01" hidden="1">1</definedName>
    <definedName name="_AtRisk_SimSetting_ReportOptionCustomItemGraphFormat02" hidden="1">1</definedName>
    <definedName name="_AtRisk_SimSetting_ReportOptionCustomItemGraphFormat03" hidden="1">1</definedName>
    <definedName name="_AtRisk_SimSetting_ReportOptionCustomItemGraphFormat04" hidden="1">1</definedName>
    <definedName name="_AtRisk_SimSetting_ReportOptionCustomItemGraphFormat05" hidden="1">1</definedName>
    <definedName name="_AtRisk_SimSetting_ReportOptionCustomItemGraphFormat06" hidden="1">1</definedName>
    <definedName name="_AtRisk_SimSetting_ReportOptionCustomItemItemIndex01" hidden="1">0</definedName>
    <definedName name="_AtRisk_SimSetting_ReportOptionCustomItemItemIndex02" hidden="1">1</definedName>
    <definedName name="_AtRisk_SimSetting_ReportOptionCustomItemItemIndex03" hidden="1">2</definedName>
    <definedName name="_AtRisk_SimSetting_ReportOptionCustomItemItemIndex04" hidden="1">3</definedName>
    <definedName name="_AtRisk_SimSetting_ReportOptionCustomItemItemIndex05" hidden="1">4</definedName>
    <definedName name="_AtRisk_SimSetting_ReportOptionCustomItemItemIndex06" hidden="1">5</definedName>
    <definedName name="_AtRisk_SimSetting_ReportOptionCustomItemItemSize01" hidden="1">0</definedName>
    <definedName name="_AtRisk_SimSetting_ReportOptionCustomItemItemSize02" hidden="1">0</definedName>
    <definedName name="_AtRisk_SimSetting_ReportOptionCustomItemItemSize03" hidden="1">0</definedName>
    <definedName name="_AtRisk_SimSetting_ReportOptionCustomItemItemSize04" hidden="1">0</definedName>
    <definedName name="_AtRisk_SimSetting_ReportOptionCustomItemItemSize05" hidden="1">0</definedName>
    <definedName name="_AtRisk_SimSetting_ReportOptionCustomItemItemSize06" hidden="1">0</definedName>
    <definedName name="_AtRisk_SimSetting_ReportOptionCustomItemItemType01" hidden="1">1</definedName>
    <definedName name="_AtRisk_SimSetting_ReportOptionCustomItemItemType02" hidden="1">5</definedName>
    <definedName name="_AtRisk_SimSetting_ReportOptionCustomItemItemType03" hidden="1">1</definedName>
    <definedName name="_AtRisk_SimSetting_ReportOptionCustomItemItemType04" hidden="1">3</definedName>
    <definedName name="_AtRisk_SimSetting_ReportOptionCustomItemItemType05" hidden="1">2</definedName>
    <definedName name="_AtRisk_SimSetting_ReportOptionCustomItemItemType06" hidden="1">4</definedName>
    <definedName name="_AtRisk_SimSetting_ReportOptionCustomItemLegendType01" hidden="1">0</definedName>
    <definedName name="_AtRisk_SimSetting_ReportOptionCustomItemLegendType02" hidden="1">0</definedName>
    <definedName name="_AtRisk_SimSetting_ReportOptionCustomItemLegendType03" hidden="1">0</definedName>
    <definedName name="_AtRisk_SimSetting_ReportOptionCustomItemLegendType04" hidden="1">0</definedName>
    <definedName name="_AtRisk_SimSetting_ReportOptionCustomItemLegendType05" hidden="1">0</definedName>
    <definedName name="_AtRisk_SimSetting_ReportOptionCustomItemLegendType06" hidden="1">0</definedName>
    <definedName name="_AtRisk_SimSetting_ReportOptionCustomItemsCount" hidden="1">6</definedName>
    <definedName name="_AtRisk_SimSetting_ReportOptionCustomItemSensitivityFormat01" hidden="1">1</definedName>
    <definedName name="_AtRisk_SimSetting_ReportOptionCustomItemSensitivityFormat02" hidden="1">1</definedName>
    <definedName name="_AtRisk_SimSetting_ReportOptionCustomItemSensitivityFormat03" hidden="1">1</definedName>
    <definedName name="_AtRisk_SimSetting_ReportOptionCustomItemSensitivityFormat04" hidden="1">1</definedName>
    <definedName name="_AtRisk_SimSetting_ReportOptionCustomItemSensitivityFormat05" hidden="1">1</definedName>
    <definedName name="_AtRisk_SimSetting_ReportOptionCustomItemSensitivityFormat06" hidden="1">1</definedName>
    <definedName name="_AtRisk_SimSetting_ReportOptionCustomItemSummaryGraphType01" hidden="1">0</definedName>
    <definedName name="_AtRisk_SimSetting_ReportOptionCustomItemSummaryGraphType02" hidden="1">0</definedName>
    <definedName name="_AtRisk_SimSetting_ReportOptionCustomItemSummaryGraphType03" hidden="1">0</definedName>
    <definedName name="_AtRisk_SimSetting_ReportOptionCustomItemSummaryGraphType04" hidden="1">0</definedName>
    <definedName name="_AtRisk_SimSetting_ReportOptionCustomItemSummaryGraphType05" hidden="1">0</definedName>
    <definedName name="_AtRisk_SimSetting_ReportOptionCustomItemSummaryGraphType06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4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4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xlnm._FilterDatabase" localSheetId="3" hidden="1">Parameters!$G$1:$G$203</definedName>
    <definedName name="Pal_Workbook_GUID" hidden="1">"VHT9HPYP3AYVGFKGXWS14HJY"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7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</definedNames>
  <calcPr calcId="181029"/>
</workbook>
</file>

<file path=xl/calcChain.xml><?xml version="1.0" encoding="utf-8"?>
<calcChain xmlns="http://schemas.openxmlformats.org/spreadsheetml/2006/main">
  <c r="M19" i="4" l="1"/>
  <c r="L19" i="4"/>
  <c r="M203" i="4" l="1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17" i="4"/>
  <c r="L17" i="4"/>
  <c r="M16" i="4"/>
  <c r="L16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4" i="4"/>
  <c r="L4" i="4"/>
</calcChain>
</file>

<file path=xl/sharedStrings.xml><?xml version="1.0" encoding="utf-8"?>
<sst xmlns="http://schemas.openxmlformats.org/spreadsheetml/2006/main" count="2544" uniqueCount="409">
  <si>
    <t>ipccver</t>
  </si>
  <si>
    <t>2006</t>
  </si>
  <si>
    <t>2019_refinement</t>
  </si>
  <si>
    <t>dist</t>
  </si>
  <si>
    <t>normal</t>
  </si>
  <si>
    <t>posnorm</t>
  </si>
  <si>
    <t>lognormal</t>
  </si>
  <si>
    <t>beta</t>
  </si>
  <si>
    <t>triangular</t>
  </si>
  <si>
    <t>pert</t>
  </si>
  <si>
    <t>uniform</t>
  </si>
  <si>
    <t>constant</t>
  </si>
  <si>
    <t>tnorm_0_1</t>
  </si>
  <si>
    <t>ptype</t>
  </si>
  <si>
    <t>activity_data</t>
  </si>
  <si>
    <t>coefficient</t>
  </si>
  <si>
    <t>quality</t>
  </si>
  <si>
    <t>measured</t>
  </si>
  <si>
    <t>country_specific</t>
  </si>
  <si>
    <t>regional_default</t>
  </si>
  <si>
    <t>ipcc_default</t>
  </si>
  <si>
    <t>expert_judgement</t>
  </si>
  <si>
    <t>mms</t>
  </si>
  <si>
    <t>pasture</t>
  </si>
  <si>
    <t>daily_spread</t>
  </si>
  <si>
    <t>solid_storage</t>
  </si>
  <si>
    <t>solid_storage_covered</t>
  </si>
  <si>
    <t>dry_lot</t>
  </si>
  <si>
    <t>deep_bedding</t>
  </si>
  <si>
    <t>liquid_slurry</t>
  </si>
  <si>
    <t>composting</t>
  </si>
  <si>
    <t>lagoon</t>
  </si>
  <si>
    <t>anaerobic_digester</t>
  </si>
  <si>
    <t>aerobic_treatment</t>
  </si>
  <si>
    <t>burned_for_fuel</t>
  </si>
  <si>
    <t>species</t>
  </si>
  <si>
    <t>cattle_dairy</t>
  </si>
  <si>
    <t>cattle_non_dairy</t>
  </si>
  <si>
    <t>buffalo</t>
  </si>
  <si>
    <t>subsystem</t>
  </si>
  <si>
    <t>sex</t>
  </si>
  <si>
    <t>age_class</t>
  </si>
  <si>
    <t>Cfi</t>
  </si>
  <si>
    <t>LW_default</t>
  </si>
  <si>
    <t>MW_default</t>
  </si>
  <si>
    <t>WG_default</t>
  </si>
  <si>
    <t>C_growth</t>
  </si>
  <si>
    <t>dairy_cows</t>
  </si>
  <si>
    <t>female</t>
  </si>
  <si>
    <t>adult_&gt;3yr</t>
  </si>
  <si>
    <t>other_cows</t>
  </si>
  <si>
    <t>bulls</t>
  </si>
  <si>
    <t>male</t>
  </si>
  <si>
    <t>oxen</t>
  </si>
  <si>
    <t>heifers</t>
  </si>
  <si>
    <t>young_1-3yr</t>
  </si>
  <si>
    <t>growing_males</t>
  </si>
  <si>
    <t>calves_female</t>
  </si>
  <si>
    <t>calf_&lt;1yr</t>
  </si>
  <si>
    <t>calves_male</t>
  </si>
  <si>
    <t>feedlot_cattle</t>
  </si>
  <si>
    <t>mixed</t>
  </si>
  <si>
    <t>id</t>
  </si>
  <si>
    <t>label</t>
  </si>
  <si>
    <t>versions</t>
  </si>
  <si>
    <t>mcf_tropical</t>
  </si>
  <si>
    <t>mcf_tropical_dry</t>
  </si>
  <si>
    <t>mcf_temperate</t>
  </si>
  <si>
    <t>mcf_boreal</t>
  </si>
  <si>
    <t>ef3</t>
  </si>
  <si>
    <t>Pasture/Paddock/Range</t>
  </si>
  <si>
    <t>2006,2019</t>
  </si>
  <si>
    <t>Daily Spread</t>
  </si>
  <si>
    <t>Solid Storage</t>
  </si>
  <si>
    <t>Solid Storage – Covered/Compacted (2019)</t>
  </si>
  <si>
    <t>2019</t>
  </si>
  <si>
    <t>Dry Lot</t>
  </si>
  <si>
    <t>Deep Bedding (&gt;1 month)</t>
  </si>
  <si>
    <t>Liquid/Slurry</t>
  </si>
  <si>
    <t>Composting</t>
  </si>
  <si>
    <t>Anaerobic Lagoon</t>
  </si>
  <si>
    <t>Anaerobic Digester / Biogas (2019)</t>
  </si>
  <si>
    <t>Aerobic Treatment (2019)</t>
  </si>
  <si>
    <t>Burned for Fuel (2019)</t>
  </si>
  <si>
    <t>Cattle GHG Uncertainty Calculator — Input Template</t>
  </si>
  <si>
    <t>Colour</t>
  </si>
  <si>
    <t>Meaning</t>
  </si>
  <si>
    <t>Pale yellow</t>
  </si>
  <si>
    <t>REQUIRED — you must fill this in</t>
  </si>
  <si>
    <t>Pale green</t>
  </si>
  <si>
    <t>CONTROLLED — choose from the dropdown list</t>
  </si>
  <si>
    <t>Pale blue</t>
  </si>
  <si>
    <t>PRE-FILLED — read the value, keep or override (emission factors pre-filled with IPCC defaults)</t>
  </si>
  <si>
    <t>Light grey</t>
  </si>
  <si>
    <t>AUTO-COMPUTED — calculated from your inputs, do not edit</t>
  </si>
  <si>
    <t>White</t>
  </si>
  <si>
    <t>OPTIONAL — free text or leave blank (white lower_bound/upper_bound columns override the symmetric auto-computed bounds for asymmetric distributions)</t>
  </si>
  <si>
    <t>Step</t>
  </si>
  <si>
    <t>Action</t>
  </si>
  <si>
    <t>Step 1</t>
  </si>
  <si>
    <t>Fill in the Inventory_Metadata sheet (country, species, inventory year). Note: MCF values for manure must be entered manually in Manure_Management — see Vocab sheet for IPCC Table 10.17 reference values by climate zone.</t>
  </si>
  <si>
    <t>Step 2</t>
  </si>
  <si>
    <t>In the Parameters sheet, fill in cattle_type (col A: 'dairy' or 'other'), aggregation_level (col B: your region/AEZ/system name), and optionally sub_category (col C: cows/heifers/calves/etc.).</t>
  </si>
  <si>
    <t>Step 3</t>
  </si>
  <si>
    <t>Fill in the VALUE (col G) for each parameter. Emission factor parameters (Cfi, Ym, Bo, etc.) are pre-filled with IPCC defaults — update with your own values if available.</t>
  </si>
  <si>
    <t>Step 4</t>
  </si>
  <si>
    <t>Fill in UNCERTAINTY_PCT (col H) for symmetric distributions — LOWER and UPPER bounds auto-compute. For asymmetric distributions (triangular/PERT): also fill LOWER_BOUND (col I) and UPPER_BOUND (col J) with the min/max values.</t>
  </si>
  <si>
    <t>Step 5</t>
  </si>
  <si>
    <t>To add a second sub-category: copy the parameter rows, paste below, change cattle_type/aggregation_level/sub_category.</t>
  </si>
  <si>
    <t>Step 6</t>
  </si>
  <si>
    <t>Fill in the Manure_Management sheet: one row per MMS type per sub-category. Enter MCF and EF3 values (look up IPCC Table 10.17 and 10.21 in the Vocab sheet). Fractions must sum to 100% per sub-category.</t>
  </si>
  <si>
    <t>Step 7</t>
  </si>
  <si>
    <t>Optionally fill in the Parameter_TimeSeries sheet with historical annual values (one row per year, one column per parameter) to enable automatic activity data correlation analysis.</t>
  </si>
  <si>
    <t>Sheet</t>
  </si>
  <si>
    <t>Description</t>
  </si>
  <si>
    <t>Inventory_Metadata</t>
  </si>
  <si>
    <t>Country, reporting year, species, IPCC guidelines version.</t>
  </si>
  <si>
    <t>Parameters</t>
  </si>
  <si>
    <t>All parameters for each animal sub-category. 3 user-defined naming columns (cattle_type, aggregation_level, sub_category). Emission factors pre-filled with IPCC defaults. Supports symmetric (uncertainty_pct) and asymmetric (lower_bound, upper_bound) distributions.</t>
  </si>
  <si>
    <t>Manure_Management</t>
  </si>
  <si>
    <t>Manure management system allocation. Enter MCF and EF3 values manually (see Vocab for IPCC reference tables). Fractions must sum to 100 per sub-category. Full distribution support for MCF and EF3.</t>
  </si>
  <si>
    <t>Parameter_TimeSeries</t>
  </si>
  <si>
    <t>CORRELATIONS — one row per year, one column per activity data parameter. Fill in historical values; the app computes a Pearson correlation matrix automatically on upload (Tab 4). You only need columns you have data for.</t>
  </si>
  <si>
    <t>Vocab</t>
  </si>
  <si>
    <t>Parameter catalogue + IPCC MCF reference table (Table 10.17) + controlled vocabulary terms and definitions.</t>
  </si>
  <si>
    <t/>
  </si>
  <si>
    <t>Field</t>
  </si>
  <si>
    <t>Value</t>
  </si>
  <si>
    <t>Hint / valid options</t>
  </si>
  <si>
    <t>Country / region</t>
  </si>
  <si>
    <t>Free text, e.g. Country-X or Region-A</t>
  </si>
  <si>
    <t>Inventory year</t>
  </si>
  <si>
    <t>Integer year, e.g. 2021</t>
  </si>
  <si>
    <t>Livestock species</t>
  </si>
  <si>
    <t>Select from dropdown</t>
  </si>
  <si>
    <t>IPCC Guidelines version</t>
  </si>
  <si>
    <t>Pre-set from your template download choice. Re-download from Tab 1 if you need to switch IPCC versions (the MMS dropdown is filtered to the version you pick).</t>
  </si>
  <si>
    <t>Prepared by</t>
  </si>
  <si>
    <t>Agency / author name</t>
  </si>
  <si>
    <t>Notes</t>
  </si>
  <si>
    <t>Scope, caveats, deviations from standard methodology. Note: MCF values for manure must be entered manually in Manure_Management — see Vocab sheet for IPCC Table 10.17 reference.</t>
  </si>
  <si>
    <t>HOW TO USE: YELLOW = core activity data — enter your own values. ORANGE = technical IPCC coefficient — pre-filled with defaults from Penman et al. (2000); uncertainty ranges from Penman (2000) / Monni et al. (2007); edit if you have country-specific values. GREEN = dropdown. BLUE = pre-filled info. GREY = auto-computed. PERCENTAGE FIELDS (DE_pct, milk_fat, CP_pct, Ym_pct, uncertainty_pct, etc.): enter the bare number, e.g. '45' for 45% — do NOT include the '%' symbol. uncertainty_pct is the ±% half-width of the 95% CI. For symmetric distributions: fill value (G) + uncertainty_pct (H). For asymmetric distributions (PERT/lognormal): fill lower_bound (I) and upper_bound (J) instead — these override the pct formula. Copy rows 4 onwards to add more sub-categories.</t>
  </si>
  <si>
    <t>REQUIRED</t>
  </si>
  <si>
    <t>OPTIONAL</t>
  </si>
  <si>
    <t>INFO</t>
  </si>
  <si>
    <t>OPT.OVERRIDE</t>
  </si>
  <si>
    <t>DROPDOWN</t>
  </si>
  <si>
    <t>AUTO</t>
  </si>
  <si>
    <t>cattle_type</t>
  </si>
  <si>
    <t>aggregation_level</t>
  </si>
  <si>
    <t>sub_category</t>
  </si>
  <si>
    <t>parameter</t>
  </si>
  <si>
    <t>definition</t>
  </si>
  <si>
    <t>unit</t>
  </si>
  <si>
    <t>value</t>
  </si>
  <si>
    <t>uncertainty_pct</t>
  </si>
  <si>
    <t>lower_bound</t>
  </si>
  <si>
    <t>upper_bound</t>
  </si>
  <si>
    <t>distribution</t>
  </si>
  <si>
    <t>lower</t>
  </si>
  <si>
    <t>upper</t>
  </si>
  <si>
    <t>param_type</t>
  </si>
  <si>
    <t>ipcc_ref</t>
  </si>
  <si>
    <t>data_source</t>
  </si>
  <si>
    <t>dairy</t>
  </si>
  <si>
    <t>N</t>
  </si>
  <si>
    <t>Number of animals in this sub-category</t>
  </si>
  <si>
    <t>head</t>
  </si>
  <si>
    <t>BW</t>
  </si>
  <si>
    <t>Average live body weight of the animals</t>
  </si>
  <si>
    <t>kg</t>
  </si>
  <si>
    <t>Table 10A.2</t>
  </si>
  <si>
    <t>MW</t>
  </si>
  <si>
    <t>Mature (adult) body weight of the animals</t>
  </si>
  <si>
    <t>WG</t>
  </si>
  <si>
    <t>Average daily weight gain — set 0 for non-growing (adult) animals</t>
  </si>
  <si>
    <t>kg/day</t>
  </si>
  <si>
    <t>Table 10A.1</t>
  </si>
  <si>
    <t>Milk</t>
  </si>
  <si>
    <t>Daily milk yield per lactating cow (not sub-category-average — the tool multiplies by pct_calving internally). Set 0 for sub-categories that do not lactate.</t>
  </si>
  <si>
    <t>kg/head/day</t>
  </si>
  <si>
    <t>Fat</t>
  </si>
  <si>
    <t>Fat content of milk (% by weight)</t>
  </si>
  <si>
    <t>%</t>
  </si>
  <si>
    <t>pct_calving</t>
  </si>
  <si>
    <t>Fraction of females in this sub-category that give birth (calve) during the year, between 0 and 1.</t>
  </si>
  <si>
    <t>fraction (0-1)</t>
  </si>
  <si>
    <t>DE</t>
  </si>
  <si>
    <t>Digestible energy as a percentage of gross energy — typical range 45-75%</t>
  </si>
  <si>
    <t>Eq 10.14--16</t>
  </si>
  <si>
    <t>Maintenance energy coefficient — depends on sex and lactation status (IPCC Table 10.4)</t>
  </si>
  <si>
    <t>MJ/day/kg^0.75</t>
  </si>
  <si>
    <t>Table 10.4</t>
  </si>
  <si>
    <t>Ca</t>
  </si>
  <si>
    <t>Activity coefficient for locomotion energy — depends on feeding situation (IPCC Table 10.5)</t>
  </si>
  <si>
    <t>dimensionless</t>
  </si>
  <si>
    <t>Table 10.5</t>
  </si>
  <si>
    <t>C</t>
  </si>
  <si>
    <t>Growth coefficient for the NEg equation — depends on sex and physiological status (IPCC Eq 10.6)</t>
  </si>
  <si>
    <t>Eq 10.6</t>
  </si>
  <si>
    <t>Cp</t>
  </si>
  <si>
    <t>Pregnancy coefficient — 0.10 for pregnant animals (IPCC Table 10.7)</t>
  </si>
  <si>
    <t>Table 10.7</t>
  </si>
  <si>
    <t>hours</t>
  </si>
  <si>
    <t>Daily working hours (Eq. 10.11) — set 0 if animals do no work; relevant only where animals are used for traction/load</t>
  </si>
  <si>
    <t>hours/day</t>
  </si>
  <si>
    <t>Eq 10.11</t>
  </si>
  <si>
    <t>CP</t>
  </si>
  <si>
    <t>Crude protein (CP%) content of the diet — used to estimate nitrogen excretion</t>
  </si>
  <si>
    <t>Eq 10.32</t>
  </si>
  <si>
    <t>Ym</t>
  </si>
  <si>
    <t>Methane conversion factor: % of gross energy in feed converted to methane (IPCC Table 10.12)</t>
  </si>
  <si>
    <t>Table 10.12</t>
  </si>
  <si>
    <t>Bo</t>
  </si>
  <si>
    <t>Maximum CH₄ producing capacity of manure (IPCC Table 10.16)</t>
  </si>
  <si>
    <t>m3 CH₄/kg VS</t>
  </si>
  <si>
    <t>Table 10.16</t>
  </si>
  <si>
    <t>ASH</t>
  </si>
  <si>
    <t>Ash content of manure — IPCC default 0.08 (Eq 10.24 footnote)</t>
  </si>
  <si>
    <t>fraction</t>
  </si>
  <si>
    <t>Eq 10.24</t>
  </si>
  <si>
    <t>UE</t>
  </si>
  <si>
    <t>Urinary energy as fraction of gross energy — IPCC default 0.04 (Eq 10.24 footnote)</t>
  </si>
  <si>
    <t>EF3_PRP</t>
  </si>
  <si>
    <t>N₂O emission factor for dung/urine on pasture (IPCC Vol.4 Ch.11 Table 11.1). 2019R EF3_PRP,CPP for cattle/poultry/pigs: aggregated 0.004; wet climate 0.006; dry climate 0.002. 2006 = 0.02.</t>
  </si>
  <si>
    <t>kg N2O-N/kg N</t>
  </si>
  <si>
    <t>Ch.11 Table 11.1</t>
  </si>
  <si>
    <t>EF3_S</t>
  </si>
  <si>
    <t>N₂O emission factor for managed manure storage — weighted-average broadcast over MMS (IPCC Table 10.21)</t>
  </si>
  <si>
    <t>Table 10.21</t>
  </si>
  <si>
    <t>Frac_GASMS</t>
  </si>
  <si>
    <t>Fraction of managed manure N volatilised as NH3/NOx — manure management (IPCC 2019 Table 10.22)</t>
  </si>
  <si>
    <t>Table 10.22</t>
  </si>
  <si>
    <t>EF4</t>
  </si>
  <si>
    <t>N₂O EF for atmospheric N deposition (IPCC Vol.4 Ch.11 Table 11.3). 2019R aggregated EF4 = 0.010 (range 0.002-0.018); wet climate 0.014; dry climate 0.005. 2006 = 0.010.</t>
  </si>
  <si>
    <t>Ch.11 Table 11.3</t>
  </si>
  <si>
    <t>EF5</t>
  </si>
  <si>
    <t>N₂O EF for N leaching/runoff (IPCC Vol.4 Ch.11 Table 11.3). 2019R EF5 = 0.011 (range 0.000-0.020), no climate disaggregation. 2006 = 0.0075.</t>
  </si>
  <si>
    <t>Frac_LEACH_H</t>
  </si>
  <si>
    <t>Fraction of managed N lost through leaching — manure management (IPCC 2019 Refinement Vol.4 Ch.10 Table 10.23)</t>
  </si>
  <si>
    <t>Table 10.23</t>
  </si>
  <si>
    <t>Frac_GASM_PRP</t>
  </si>
  <si>
    <t>Fraction of N volatilised from dung/urine on pasture (IPCC Vol.4 Ch.11 Table 11.3, FracGASM). 2019R = 0.21 (range 0.00-0.31); 2006 = 0.20.</t>
  </si>
  <si>
    <t>Frac_LEACH_PRP</t>
  </si>
  <si>
    <t>Fraction of N leached from pasture deposition (IPCC Vol.4 Ch.11 Table 11.3, FracLEACH-(H), wet climates only). 2019R = 0.24 (range 0.01-0.73); 2006 = 0.30; in dry climates = 0.</t>
  </si>
  <si>
    <t>MilkPR</t>
  </si>
  <si>
    <t>Protein content of milk — feeds the milk-N term in IPCC Vol.4 Ch.10 Eq 10.33 (N retention for cattle, where the 6.38 milk-protein-to-N conversion is defined)</t>
  </si>
  <si>
    <t>Eq 10.33</t>
  </si>
  <si>
    <t>Tw</t>
  </si>
  <si>
    <t>Mean daily temperature in winter (°C) — Cfi cold-climate adjustment per IPCC Vol.4 Ch.10 Eq 10.2 (modifies the Cfi from Eq 10.3). Leave blank or set 20 to disable adjustment</t>
  </si>
  <si>
    <t>°C</t>
  </si>
  <si>
    <t>Eq 10.2</t>
  </si>
  <si>
    <t>Enter one row per manure management system (MMS) per sub-category. fraction_pct values for the same cattle_type+aggregation_level+sub_category MUST sum to 100. SUB-CATEGORY HANDLING: if all sub-categories of the same cattle_type+aggregation_level use the same MMS allocation, you may leave sub_category blank — the values will apply to every sub-category in that group. If sub-categories differ (e.g. cows vs calves), provide a separate set of rows per sub-category. Enter MCF values from IPCC Table 10.17 for your climate zone (see Vocab sheet). EF3 from IPCC Table 10.21. For asymmetric distributions, fill lower_mcf/upper_mcf or lower_ef3/upper_ef3 with min/max values.</t>
  </si>
  <si>
    <t>mms_type</t>
  </si>
  <si>
    <t>fraction_pct</t>
  </si>
  <si>
    <t>MCF_pct</t>
  </si>
  <si>
    <t>lower_mcf</t>
  </si>
  <si>
    <t>upper_mcf</t>
  </si>
  <si>
    <t>distribution_mcf</t>
  </si>
  <si>
    <t>EF3</t>
  </si>
  <si>
    <t>lower_ef3</t>
  </si>
  <si>
    <t>upper_ef3</t>
  </si>
  <si>
    <t>distribution_ef3</t>
  </si>
  <si>
    <t>Frac_GasMS_pct</t>
  </si>
  <si>
    <t>lower_frac_gas</t>
  </si>
  <si>
    <t>upper_frac_gas</t>
  </si>
  <si>
    <t>distribution_frac_gas</t>
  </si>
  <si>
    <t>Frac_LeachMS_pct</t>
  </si>
  <si>
    <t>lower_frac_leach</t>
  </si>
  <si>
    <t>upper_frac_leach</t>
  </si>
  <si>
    <t>distribution_frac_leach</t>
  </si>
  <si>
    <t>dairy / other (free text)</t>
  </si>
  <si>
    <t>Region / AEZ / production system (free text)</t>
  </si>
  <si>
    <t>Optional: cows / heifers / calves (free text)</t>
  </si>
  <si>
    <t>% of manure to this MMS (all rows per sub-cat must sum to 100)</t>
  </si>
  <si>
    <t>Methane conv. factor % — look up IPCC Table 10.17 in Vocab sheet</t>
  </si>
  <si>
    <t>Optional: min value for asymmetric MCF distribution</t>
  </si>
  <si>
    <t>Optional: max value for asymmetric MCF distribution</t>
  </si>
  <si>
    <t>Distribution for MCF uncertainty — select from dropdown</t>
  </si>
  <si>
    <t>Direct N2O EF — look up IPCC Table 10.21 in Vocab sheet</t>
  </si>
  <si>
    <t>Optional: min value for asymmetric EF3 distribution</t>
  </si>
  <si>
    <t>Optional: max value for asymmetric EF3 distribution</t>
  </si>
  <si>
    <t>Distribution for EF3 uncertainty — select from dropdown</t>
  </si>
  <si>
    <t>Volatilisation fraction % per MMS — IPCC 2019 Table 10.22</t>
  </si>
  <si>
    <t>Optional: min for asymmetric Frac_GasMS distribution</t>
  </si>
  <si>
    <t>Optional: max for asymmetric Frac_GasMS distribution</t>
  </si>
  <si>
    <t>Distribution for Frac_GasMS — select from dropdown</t>
  </si>
  <si>
    <t>Leaching fraction % per MMS — IPCC 2019 Table 10.23</t>
  </si>
  <si>
    <t>Optional: min for asymmetric Frac_LeachMS distribution</t>
  </si>
  <si>
    <t>Optional: max for asymmetric Frac_LeachMS distribution</t>
  </si>
  <si>
    <t>Distribution for Frac_LeachMS — select from dropdown</t>
  </si>
  <si>
    <t>CORRELATIONS: Fill in one row per year for each parameter you have historical data for. When you upload this template in Tab 1, the app automatically computes a Pearson correlation matrix and uses it in Monte Carlo sampling (Tab 4 &gt; Activity Data). You do NOT need every column - absent parameters are treated as uncorrelated (r=0). Minimum: 2 numeric columns and 5 rows.</t>
  </si>
  <si>
    <t>year</t>
  </si>
  <si>
    <t>dairy / non_dairy / mixed (free text; blank = applies to all)</t>
  </si>
  <si>
    <t>Production system / AEZ (free text; blank = all)</t>
  </si>
  <si>
    <t>Sub-category (free text; blank = all)</t>
  </si>
  <si>
    <t>Calendar year</t>
  </si>
  <si>
    <t>No. of animals</t>
  </si>
  <si>
    <t>Avg. body weight (BW)</t>
  </si>
  <si>
    <t>Mature body weight</t>
  </si>
  <si>
    <t>Daily weight gain</t>
  </si>
  <si>
    <t>Daily milk yield per cow</t>
  </si>
  <si>
    <t>Milk fat content</t>
  </si>
  <si>
    <t>Fraction calving (calves/females/year)</t>
  </si>
  <si>
    <t>Digestible energy</t>
  </si>
  <si>
    <t>Crude protein in diet</t>
  </si>
  <si>
    <t>Milk protein content</t>
  </si>
  <si>
    <t>(label)</t>
  </si>
  <si>
    <t>(label only)</t>
  </si>
  <si>
    <t>SECTION A — Parameter Catalogue</t>
  </si>
  <si>
    <t>suggested_unc_%</t>
  </si>
  <si>
    <t>suggested_distribution</t>
  </si>
  <si>
    <t>core</t>
  </si>
  <si>
    <t>N(T) — Annual Average Population (head)</t>
  </si>
  <si>
    <t>BW — Body weight (kg) [also TAM = Typical Animal Mass; IPCC Eq 10.3/10.6/10.17/10.18]</t>
  </si>
  <si>
    <t>(MW) — Mature body weight, used in NEg equation</t>
  </si>
  <si>
    <t>WG — Daily weight gain (Average Daily Feed Intake tab)</t>
  </si>
  <si>
    <t>Milk — Average daily milk production (kg/day)</t>
  </si>
  <si>
    <t>Fat — Fat content of milk (% by weight)</t>
  </si>
  <si>
    <t>pct_calving — Fraction of females that calve in a year</t>
  </si>
  <si>
    <t>DE% — Feed digestibility (%)</t>
  </si>
  <si>
    <t>advanced</t>
  </si>
  <si>
    <t>Cfi — Coefficient for calculating Net Energy for Maintenance</t>
  </si>
  <si>
    <t>Ca — Activity coefficient</t>
  </si>
  <si>
    <t>(C) — Growth coefficient (sex-dependent: female 0.8 / castrate 1.0 / bull 1.2)</t>
  </si>
  <si>
    <t>Cpregnancy — Coefficient for calculating Net Energy for Pregnancy</t>
  </si>
  <si>
    <t>(hours) — Daily working hours</t>
  </si>
  <si>
    <t>CP% — Percent crude protein in diet</t>
  </si>
  <si>
    <t>Ym — Methane conversion factor (% of GE → CH4)</t>
  </si>
  <si>
    <t>Bo — Maximum methane producing capacity</t>
  </si>
  <si>
    <t>ASH — Ash content of manure (fraction of dry matter)</t>
  </si>
  <si>
    <t>UE — Urinary Energy fraction of GE</t>
  </si>
  <si>
    <t>EF3(PRP) — Direct N₂O EF, manure on pasture/range/paddock</t>
  </si>
  <si>
    <t>EF3(S) — Direct N₂O EF, managed manure storage (Table 10.21)</t>
  </si>
  <si>
    <t>Frac_GASMS — Fraction of N volatilised from managed manure (Table 10.22)</t>
  </si>
  <si>
    <t>EF4 — N₂O EF for atmospheric N deposition (Vol 4 Ch 11)</t>
  </si>
  <si>
    <t>EF5 — N₂O EF for N leaching/runoff (Vol 4 Ch 11)</t>
  </si>
  <si>
    <t>Frac_LEACH(MS) — Fraction of managed N lost through leaching (Table 10.23, 2019 Refinement)</t>
  </si>
  <si>
    <t>FracGASM — Fraction of N volatilised from pasture deposition (Table 11.3)</t>
  </si>
  <si>
    <t>Frac_leach-(H) — Fraction of N lost through leaching from pasture deposition (Table 11.3)</t>
  </si>
  <si>
    <t>Milk PR% — Milk protein content (1.9 + 0.4*Fat)</t>
  </si>
  <si>
    <t>Tw — Mean winter daily temperature (°C); IPCC software Cfi adjustment input</t>
  </si>
  <si>
    <t>SECTION B — Controlled Vocabulary</t>
  </si>
  <si>
    <t>species (Inventory_Metadata dropdown)</t>
  </si>
  <si>
    <t>term</t>
  </si>
  <si>
    <t>used_in</t>
  </si>
  <si>
    <t>Cattle — dairy breeds</t>
  </si>
  <si>
    <t>Inventory_Metadata.species</t>
  </si>
  <si>
    <t>Cattle — non-dairy / beef / multipurpose</t>
  </si>
  <si>
    <t>Buffalo</t>
  </si>
  <si>
    <t>IPCC Table 10.17 — MCF (%) by climate zone  [enter values into Manure_Management sheet]</t>
  </si>
  <si>
    <t>tropical_moist_%</t>
  </si>
  <si>
    <t>tropical_dry_%</t>
  </si>
  <si>
    <t>temperate_%</t>
  </si>
  <si>
    <t>boreal_%</t>
  </si>
  <si>
    <t>mms_type (manure management system)</t>
  </si>
  <si>
    <t>EF3 (kg N2O-N/kg N)</t>
  </si>
  <si>
    <t>MCF tropical%</t>
  </si>
  <si>
    <t>MCF temperate%</t>
  </si>
  <si>
    <t>distribution (Parameters and Manure_Management dropdowns)</t>
  </si>
  <si>
    <t>shape</t>
  </si>
  <si>
    <t>when_to_use</t>
  </si>
  <si>
    <t>bounds_input</t>
  </si>
  <si>
    <t>Symmetric bell</t>
  </si>
  <si>
    <t>Large populations, body weights, symmetric uncertainty</t>
  </si>
  <si>
    <t>uncertainty_pct only</t>
  </si>
  <si>
    <t>Symmetric, truncated at 0</t>
  </si>
  <si>
    <t>Non-negative parameters with near-symmetric uncertainty</t>
  </si>
  <si>
    <t>Right-skewed, always positive</t>
  </si>
  <si>
    <t>Emission factors, ratios — strictly positive, possible right tail</t>
  </si>
  <si>
    <t>Flexible, bounded [lower,upper]</t>
  </si>
  <si>
    <t>Fractions 0-1: pct_calving, Cp</t>
  </si>
  <si>
    <t>Linear triangle</t>
  </si>
  <si>
    <t>Expert-elicited min/mode/max: Ca, C_growth, DE_pct</t>
  </si>
  <si>
    <t>lower_bound+upper_bound (min/max)</t>
  </si>
  <si>
    <t>Smooth peak at mode</t>
  </si>
  <si>
    <t>IPCC coefficients: Cfi, Ym, Bo, EF3_PRP — recommended for most EFs</t>
  </si>
  <si>
    <t>Flat — all values equally likely</t>
  </si>
  <si>
    <t>Only bounds known, no preferred value</t>
  </si>
  <si>
    <t>No variation</t>
  </si>
  <si>
    <t>Zero uncertainty, e.g. WG=0 for non-growing adults</t>
  </si>
  <si>
    <t>none</t>
  </si>
  <si>
    <t>Normal clamped to [0,1]</t>
  </si>
  <si>
    <t>Fractions that must stay in [0,1]</t>
  </si>
  <si>
    <t>animal sub-category reference — IPCC defaults (for reference only; sub_category is free text in the template)</t>
  </si>
  <si>
    <t>ipcc_term</t>
  </si>
  <si>
    <t>default_Cfi</t>
  </si>
  <si>
    <t>default_LW_kg</t>
  </si>
  <si>
    <t>default_WG_kg_day</t>
  </si>
  <si>
    <t>Dairy Cows (mature lactating females)</t>
  </si>
  <si>
    <t>Other Cows (mature non-dairy females, inc. dry)</t>
  </si>
  <si>
    <t>Bulls (mature intact males, breeding)</t>
  </si>
  <si>
    <t>Oxen (mature castrated males)</t>
  </si>
  <si>
    <t>Heifers (young females 1-3yr, not yet calved)</t>
  </si>
  <si>
    <t>Growing Males (young males 1-3yr, steers/bulls)</t>
  </si>
  <si>
    <t>Calves - Female (&lt;1yr)</t>
  </si>
  <si>
    <t>Calves - Male (&lt;1yr)</t>
  </si>
  <si>
    <t>Feedlot Cattle (concentrated feeding)</t>
  </si>
  <si>
    <t>feeding_situation reference — Ca values (for reference only; feeding situation is captured in sub_category free text)</t>
  </si>
  <si>
    <t>description</t>
  </si>
  <si>
    <t>Ca value (IPCC Table 10.5)</t>
  </si>
  <si>
    <t>stall_fed</t>
  </si>
  <si>
    <t>Animal is stall-fed or kept in enclosure</t>
  </si>
  <si>
    <t>pasture_flat</t>
  </si>
  <si>
    <t>Animal grazes on flat terrain</t>
  </si>
  <si>
    <t>pasture_hilly</t>
  </si>
  <si>
    <t>Animal grazes on hilly terrain</t>
  </si>
  <si>
    <t>Intensive dairy system</t>
  </si>
  <si>
    <t>calves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</si>
</sst>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Calibri"/>
    </font>
    <font>
      <b/>
      <sz val="16"/>
      <color rgb="FFFFFFFF"/>
      <name val="Calibri"/>
    </font>
    <font>
      <b/>
      <sz val="10"/>
      <color rgb="FFFFFFFF"/>
      <name val="Calibri"/>
    </font>
    <font>
      <sz val="9"/>
      <color rgb="FF1565C0"/>
      <name val="Calibri"/>
    </font>
    <font>
      <sz val="9"/>
      <color rgb="FF6B6B6B"/>
      <name val="Calibri"/>
    </font>
    <font>
      <b/>
      <sz val="10"/>
      <color rgb="FF000000"/>
      <name val="Calibri"/>
    </font>
    <font>
      <i/>
      <sz val="8"/>
      <color rgb="FF6B6B6B"/>
      <name val="Calibri"/>
    </font>
    <font>
      <b/>
      <sz val="9"/>
      <color rgb="FF6B6B6B"/>
      <name val="Calibri"/>
    </font>
    <font>
      <i/>
      <sz val="9"/>
      <color rgb="FFFFFFFF"/>
      <name val="Calibri"/>
    </font>
    <font>
      <i/>
      <sz val="7"/>
      <color rgb="FF6B6B6B"/>
      <name val="Calibri"/>
    </font>
    <font>
      <i/>
      <sz val="9"/>
      <color rgb="FF555555"/>
      <name val="Calibri"/>
    </font>
    <font>
      <b/>
      <sz val="13"/>
      <color rgb="FFFFFFFF"/>
      <name val="Calibri"/>
    </font>
    <font>
      <sz val="9"/>
      <color rgb="FF000000"/>
      <name val="Calibri"/>
    </font>
    <font>
      <b/>
      <sz val="9"/>
      <color rgb="FF000000"/>
      <name val="Calibri"/>
    </font>
    <font>
      <sz val="1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B4332"/>
      </patternFill>
    </fill>
    <fill>
      <patternFill patternType="solid">
        <fgColor rgb="FFFFF9C4"/>
      </patternFill>
    </fill>
    <fill>
      <patternFill patternType="solid">
        <fgColor rgb="FFE8F5E9"/>
      </patternFill>
    </fill>
    <fill>
      <patternFill patternType="solid">
        <fgColor rgb="FFE3F2FD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2D6A4F"/>
      </patternFill>
    </fill>
    <fill>
      <patternFill patternType="solid">
        <fgColor rgb="FFFAFAFA"/>
      </patternFill>
    </fill>
    <fill>
      <patternFill patternType="solid">
        <fgColor rgb="FFFFF3E0"/>
      </patternFill>
    </fill>
    <fill>
      <patternFill patternType="solid">
        <fgColor rgb="FFD8F3DC"/>
      </patternFill>
    </fill>
    <fill>
      <patternFill patternType="solid">
        <fgColor rgb="FFEBF3FA"/>
      </patternFill>
    </fill>
  </fills>
  <borders count="8">
    <border>
      <left/>
      <right/>
      <top/>
      <bottom/>
      <diagonal/>
    </border>
    <border>
      <left style="thin">
        <color rgb="FF2D6A4F"/>
      </left>
      <right style="thin">
        <color rgb="FF2D6A4F"/>
      </right>
      <top style="thin">
        <color rgb="FF2D6A4F"/>
      </top>
      <bottom style="thin">
        <color rgb="FF2D6A4F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1B4332"/>
      </left>
      <right style="thin">
        <color rgb="FF1B4332"/>
      </right>
      <top style="thin">
        <color rgb="FF1B4332"/>
      </top>
      <bottom style="thin">
        <color rgb="FF1B4332"/>
      </bottom>
      <diagonal/>
    </border>
    <border>
      <left style="thin">
        <color rgb="FFB7DFC0"/>
      </left>
      <right style="thin">
        <color rgb="FFB7DFC0"/>
      </right>
      <top style="thin">
        <color rgb="FFB7DFC0"/>
      </top>
      <bottom style="thin">
        <color rgb="FFB7DFC0"/>
      </bottom>
      <diagonal/>
    </border>
    <border>
      <left/>
      <right/>
      <top/>
      <bottom style="thin">
        <color rgb="FFDDDDD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top"/>
    </xf>
    <xf numFmtId="0" fontId="0" fillId="4" borderId="2" xfId="0" applyFill="1" applyBorder="1" applyAlignment="1">
      <alignment horizontal="left" vertical="top"/>
    </xf>
    <xf numFmtId="0" fontId="3" fillId="5" borderId="2" xfId="0" applyFont="1" applyFill="1" applyBorder="1" applyAlignment="1">
      <alignment horizontal="left" vertical="top"/>
    </xf>
    <xf numFmtId="0" fontId="4" fillId="6" borderId="3" xfId="0" applyFont="1" applyFill="1" applyBorder="1" applyAlignment="1">
      <alignment horizontal="left" vertical="top"/>
    </xf>
    <xf numFmtId="0" fontId="0" fillId="7" borderId="2" xfId="0" applyFill="1" applyBorder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right" vertical="center"/>
    </xf>
    <xf numFmtId="0" fontId="9" fillId="9" borderId="0" xfId="0" applyFont="1" applyFill="1" applyAlignment="1">
      <alignment horizontal="center"/>
    </xf>
    <xf numFmtId="0" fontId="0" fillId="10" borderId="2" xfId="0" applyFill="1" applyBorder="1" applyAlignment="1">
      <alignment horizontal="left" vertical="top"/>
    </xf>
    <xf numFmtId="0" fontId="2" fillId="8" borderId="4" xfId="0" applyFont="1" applyFill="1" applyBorder="1" applyAlignment="1">
      <alignment horizontal="center" vertical="center" wrapText="1"/>
    </xf>
    <xf numFmtId="0" fontId="10" fillId="11" borderId="5" xfId="0" applyFont="1" applyFill="1" applyBorder="1" applyAlignment="1">
      <alignment horizontal="center" vertical="top" wrapText="1"/>
    </xf>
    <xf numFmtId="0" fontId="12" fillId="7" borderId="6" xfId="0" applyFont="1" applyFill="1" applyBorder="1" applyAlignment="1">
      <alignment horizontal="left" vertical="top" wrapText="1"/>
    </xf>
    <xf numFmtId="0" fontId="12" fillId="5" borderId="6" xfId="0" applyFont="1" applyFill="1" applyBorder="1" applyAlignment="1">
      <alignment horizontal="left" vertical="top" wrapText="1"/>
    </xf>
    <xf numFmtId="0" fontId="13" fillId="7" borderId="6" xfId="0" applyFont="1" applyFill="1" applyBorder="1"/>
    <xf numFmtId="0" fontId="12" fillId="7" borderId="6" xfId="0" applyFont="1" applyFill="1" applyBorder="1" applyAlignment="1">
      <alignment horizontal="left" vertical="top"/>
    </xf>
    <xf numFmtId="0" fontId="12" fillId="4" borderId="6" xfId="0" applyFont="1" applyFill="1" applyBorder="1" applyAlignment="1">
      <alignment horizontal="left" vertical="top"/>
    </xf>
    <xf numFmtId="0" fontId="13" fillId="4" borderId="6" xfId="0" applyFont="1" applyFill="1" applyBorder="1"/>
    <xf numFmtId="0" fontId="1" fillId="2" borderId="0" xfId="0" applyFont="1" applyFill="1" applyAlignment="1">
      <alignment horizontal="left" vertical="center"/>
    </xf>
    <xf numFmtId="0" fontId="8" fillId="8" borderId="0" xfId="0" applyFont="1" applyFill="1" applyAlignment="1">
      <alignment horizontal="left" vertical="center" wrapText="1"/>
    </xf>
    <xf numFmtId="0" fontId="11" fillId="2" borderId="0" xfId="0" applyFont="1" applyFill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14" fillId="7" borderId="7" xfId="0" applyFont="1" applyFill="1" applyBorder="1" applyAlignment="1">
      <alignment horizontal="left" vertical="center"/>
    </xf>
    <xf numFmtId="0" fontId="14" fillId="12" borderId="7" xfId="0" applyFont="1" applyFill="1" applyBorder="1" applyAlignment="1">
      <alignment horizontal="left" vertical="center"/>
    </xf>
    <xf numFmtId="0" fontId="14" fillId="7" borderId="7" xfId="0" applyFont="1" applyFill="1" applyBorder="1" applyAlignment="1">
      <alignment horizontal="right" vertical="center"/>
    </xf>
    <xf numFmtId="0" fontId="14" fillId="12" borderId="7" xfId="0" applyFont="1" applyFill="1" applyBorder="1" applyAlignment="1">
      <alignment horizontal="right" vertical="center"/>
    </xf>
    <xf numFmtId="2" fontId="14" fillId="7" borderId="7" xfId="0" applyNumberFormat="1" applyFont="1" applyFill="1" applyBorder="1" applyAlignment="1">
      <alignment horizontal="right" vertical="center"/>
    </xf>
    <xf numFmtId="2" fontId="14" fillId="12" borderId="7" xfId="0" applyNumberFormat="1" applyFont="1" applyFill="1" applyBorder="1" applyAlignment="1">
      <alignment horizontal="right" vertical="center"/>
    </xf>
    <xf numFmtId="2" fontId="0" fillId="10" borderId="2" xfId="0" applyNumberFormat="1" applyFill="1" applyBorder="1" applyAlignment="1">
      <alignment horizontal="right" vertical="top"/>
    </xf>
    <xf numFmtId="2" fontId="0" fillId="3" borderId="2" xfId="0" applyNumberFormat="1" applyFill="1" applyBorder="1" applyAlignment="1">
      <alignment horizontal="right" vertical="top"/>
    </xf>
  </cellXfs>
  <cellStyles count="1">
    <cellStyle name="Normal" xfId="0" builtinId="0"/>
  </cellStyles>
  <dxfs count="4">
    <dxf>
      <font>
        <sz val="10"/>
        <color rgb="FF7F1D1D"/>
        <name val="Calibri"/>
      </font>
      <fill>
        <patternFill patternType="solid">
          <fgColor rgb="FFFECACA"/>
        </patternFill>
      </fill>
    </dxf>
    <dxf>
      <font>
        <sz val="10"/>
        <color rgb="FF7F1D1D"/>
        <name val="Calibri"/>
      </font>
      <fill>
        <patternFill patternType="solid">
          <fgColor rgb="FFFECACA"/>
        </patternFill>
      </fill>
    </dxf>
    <dxf>
      <font>
        <sz val="10"/>
        <color rgb="FF9A3412"/>
        <name val="Calibri"/>
      </font>
      <fill>
        <patternFill patternType="solid">
          <fgColor rgb="FFFED7AA"/>
        </patternFill>
      </fill>
    </dxf>
    <dxf>
      <font>
        <sz val="10"/>
        <color rgb="FF7F1D1D"/>
        <name val="Calibri"/>
      </font>
      <fill>
        <patternFill patternType="solid">
          <fgColor rgb="FFFECAC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3"/>
  <sheetViews>
    <sheetView workbookViewId="0"/>
  </sheetViews>
  <sheetFormatPr defaultColWidth="11.5546875" defaultRowHeight="13.8" x14ac:dyDescent="0.3"/>
  <sheetData>
    <row r="1" spans="1:24" x14ac:dyDescent="0.3">
      <c r="A1" t="s">
        <v>0</v>
      </c>
      <c r="B1" t="s">
        <v>3</v>
      </c>
      <c r="C1" t="s">
        <v>13</v>
      </c>
      <c r="D1" t="s">
        <v>16</v>
      </c>
      <c r="E1" t="s">
        <v>22</v>
      </c>
      <c r="F1" t="s">
        <v>35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Q1" t="s">
        <v>62</v>
      </c>
      <c r="R1" t="s">
        <v>63</v>
      </c>
      <c r="S1" t="s">
        <v>64</v>
      </c>
      <c r="T1" t="s">
        <v>65</v>
      </c>
      <c r="U1" t="s">
        <v>66</v>
      </c>
      <c r="V1" t="s">
        <v>67</v>
      </c>
      <c r="W1" t="s">
        <v>68</v>
      </c>
      <c r="X1" t="s">
        <v>69</v>
      </c>
    </row>
    <row r="2" spans="1:24" x14ac:dyDescent="0.3">
      <c r="A2" t="s">
        <v>1</v>
      </c>
      <c r="B2" t="s">
        <v>4</v>
      </c>
      <c r="C2" t="s">
        <v>14</v>
      </c>
      <c r="D2" t="s">
        <v>17</v>
      </c>
      <c r="E2" t="s">
        <v>23</v>
      </c>
      <c r="F2" t="s">
        <v>36</v>
      </c>
      <c r="H2" t="s">
        <v>47</v>
      </c>
      <c r="I2" t="s">
        <v>48</v>
      </c>
      <c r="J2" t="s">
        <v>49</v>
      </c>
      <c r="K2">
        <v>0.38600000000000001</v>
      </c>
      <c r="L2">
        <v>275</v>
      </c>
      <c r="M2">
        <v>300</v>
      </c>
      <c r="N2">
        <v>0</v>
      </c>
      <c r="O2">
        <v>0.8</v>
      </c>
      <c r="Q2" t="s">
        <v>23</v>
      </c>
      <c r="R2" t="s">
        <v>70</v>
      </c>
      <c r="S2" t="s">
        <v>71</v>
      </c>
      <c r="T2">
        <v>1.5</v>
      </c>
      <c r="U2">
        <v>1.5</v>
      </c>
      <c r="V2">
        <v>1</v>
      </c>
      <c r="W2">
        <v>1</v>
      </c>
      <c r="X2">
        <v>0.02</v>
      </c>
    </row>
    <row r="3" spans="1:24" x14ac:dyDescent="0.3">
      <c r="A3" t="s">
        <v>2</v>
      </c>
      <c r="B3" t="s">
        <v>5</v>
      </c>
      <c r="C3" t="s">
        <v>15</v>
      </c>
      <c r="D3" t="s">
        <v>18</v>
      </c>
      <c r="E3" t="s">
        <v>24</v>
      </c>
      <c r="F3" t="s">
        <v>37</v>
      </c>
      <c r="H3" t="s">
        <v>50</v>
      </c>
      <c r="I3" t="s">
        <v>48</v>
      </c>
      <c r="J3" t="s">
        <v>49</v>
      </c>
      <c r="K3">
        <v>0.32200000000000001</v>
      </c>
      <c r="L3">
        <v>275</v>
      </c>
      <c r="M3">
        <v>300</v>
      </c>
      <c r="N3">
        <v>0</v>
      </c>
      <c r="O3">
        <v>0.8</v>
      </c>
      <c r="Q3" t="s">
        <v>24</v>
      </c>
      <c r="R3" t="s">
        <v>72</v>
      </c>
      <c r="S3" t="s">
        <v>71</v>
      </c>
      <c r="T3">
        <v>1</v>
      </c>
      <c r="U3">
        <v>1</v>
      </c>
      <c r="V3">
        <v>0.5</v>
      </c>
      <c r="W3">
        <v>0.1</v>
      </c>
      <c r="X3">
        <v>0</v>
      </c>
    </row>
    <row r="4" spans="1:24" x14ac:dyDescent="0.3">
      <c r="B4" t="s">
        <v>6</v>
      </c>
      <c r="D4" t="s">
        <v>19</v>
      </c>
      <c r="E4" t="s">
        <v>25</v>
      </c>
      <c r="F4" t="s">
        <v>38</v>
      </c>
      <c r="H4" t="s">
        <v>51</v>
      </c>
      <c r="I4" t="s">
        <v>52</v>
      </c>
      <c r="J4" t="s">
        <v>49</v>
      </c>
      <c r="K4">
        <v>0.37</v>
      </c>
      <c r="L4">
        <v>350</v>
      </c>
      <c r="M4">
        <v>400</v>
      </c>
      <c r="N4">
        <v>0</v>
      </c>
      <c r="O4">
        <v>1.2</v>
      </c>
      <c r="Q4" t="s">
        <v>25</v>
      </c>
      <c r="R4" t="s">
        <v>73</v>
      </c>
      <c r="S4" t="s">
        <v>71</v>
      </c>
      <c r="T4">
        <v>5</v>
      </c>
      <c r="U4">
        <v>5</v>
      </c>
      <c r="V4">
        <v>4</v>
      </c>
      <c r="W4">
        <v>3</v>
      </c>
      <c r="X4">
        <v>5.0000000000000001E-3</v>
      </c>
    </row>
    <row r="5" spans="1:24" x14ac:dyDescent="0.3">
      <c r="B5" t="s">
        <v>7</v>
      </c>
      <c r="D5" t="s">
        <v>20</v>
      </c>
      <c r="E5" t="s">
        <v>26</v>
      </c>
      <c r="H5" t="s">
        <v>53</v>
      </c>
      <c r="I5" t="s">
        <v>52</v>
      </c>
      <c r="J5" t="s">
        <v>49</v>
      </c>
      <c r="K5">
        <v>0.32200000000000001</v>
      </c>
      <c r="L5">
        <v>300</v>
      </c>
      <c r="M5">
        <v>350</v>
      </c>
      <c r="N5">
        <v>0</v>
      </c>
      <c r="O5">
        <v>1</v>
      </c>
      <c r="Q5" t="s">
        <v>26</v>
      </c>
      <c r="R5" t="s">
        <v>74</v>
      </c>
      <c r="S5" t="s">
        <v>75</v>
      </c>
      <c r="T5">
        <v>4</v>
      </c>
      <c r="U5">
        <v>4</v>
      </c>
      <c r="V5">
        <v>2</v>
      </c>
      <c r="W5">
        <v>1</v>
      </c>
      <c r="X5">
        <v>5.0000000000000001E-3</v>
      </c>
    </row>
    <row r="6" spans="1:24" x14ac:dyDescent="0.3">
      <c r="B6" t="s">
        <v>8</v>
      </c>
      <c r="D6" t="s">
        <v>21</v>
      </c>
      <c r="E6" t="s">
        <v>27</v>
      </c>
      <c r="H6" t="s">
        <v>54</v>
      </c>
      <c r="I6" t="s">
        <v>48</v>
      </c>
      <c r="J6" t="s">
        <v>55</v>
      </c>
      <c r="K6">
        <v>0.32200000000000001</v>
      </c>
      <c r="L6">
        <v>200</v>
      </c>
      <c r="M6">
        <v>300</v>
      </c>
      <c r="N6">
        <v>0.25</v>
      </c>
      <c r="O6">
        <v>0.8</v>
      </c>
      <c r="Q6" t="s">
        <v>27</v>
      </c>
      <c r="R6" t="s">
        <v>76</v>
      </c>
      <c r="S6" t="s">
        <v>71</v>
      </c>
      <c r="T6">
        <v>5</v>
      </c>
      <c r="U6">
        <v>5</v>
      </c>
      <c r="V6">
        <v>1.5</v>
      </c>
      <c r="W6">
        <v>1</v>
      </c>
      <c r="X6">
        <v>0.02</v>
      </c>
    </row>
    <row r="7" spans="1:24" x14ac:dyDescent="0.3">
      <c r="B7" t="s">
        <v>9</v>
      </c>
      <c r="E7" t="s">
        <v>28</v>
      </c>
      <c r="H7" t="s">
        <v>56</v>
      </c>
      <c r="I7" t="s">
        <v>52</v>
      </c>
      <c r="J7" t="s">
        <v>55</v>
      </c>
      <c r="K7">
        <v>0.37</v>
      </c>
      <c r="L7">
        <v>200</v>
      </c>
      <c r="M7">
        <v>350</v>
      </c>
      <c r="N7">
        <v>0.2</v>
      </c>
      <c r="O7">
        <v>1</v>
      </c>
      <c r="Q7" t="s">
        <v>28</v>
      </c>
      <c r="R7" t="s">
        <v>77</v>
      </c>
      <c r="S7" t="s">
        <v>71</v>
      </c>
      <c r="T7">
        <v>30</v>
      </c>
      <c r="U7">
        <v>30</v>
      </c>
      <c r="V7">
        <v>17</v>
      </c>
      <c r="W7">
        <v>3</v>
      </c>
      <c r="X7">
        <v>0.01</v>
      </c>
    </row>
    <row r="8" spans="1:24" x14ac:dyDescent="0.3">
      <c r="B8" t="s">
        <v>10</v>
      </c>
      <c r="E8" t="s">
        <v>29</v>
      </c>
      <c r="H8" t="s">
        <v>57</v>
      </c>
      <c r="I8" t="s">
        <v>48</v>
      </c>
      <c r="J8" t="s">
        <v>58</v>
      </c>
      <c r="K8">
        <v>0.32200000000000001</v>
      </c>
      <c r="L8">
        <v>60</v>
      </c>
      <c r="M8">
        <v>300</v>
      </c>
      <c r="N8">
        <v>0.3</v>
      </c>
      <c r="O8">
        <v>0.8</v>
      </c>
      <c r="Q8" t="s">
        <v>29</v>
      </c>
      <c r="R8" t="s">
        <v>78</v>
      </c>
      <c r="S8" t="s">
        <v>71</v>
      </c>
      <c r="T8">
        <v>80</v>
      </c>
      <c r="U8">
        <v>80</v>
      </c>
      <c r="V8">
        <v>35</v>
      </c>
      <c r="W8">
        <v>10</v>
      </c>
      <c r="X8">
        <v>5.0000000000000001E-3</v>
      </c>
    </row>
    <row r="9" spans="1:24" x14ac:dyDescent="0.3">
      <c r="B9" t="s">
        <v>11</v>
      </c>
      <c r="E9" t="s">
        <v>30</v>
      </c>
      <c r="H9" t="s">
        <v>59</v>
      </c>
      <c r="I9" t="s">
        <v>52</v>
      </c>
      <c r="J9" t="s">
        <v>58</v>
      </c>
      <c r="K9">
        <v>0.37</v>
      </c>
      <c r="L9">
        <v>60</v>
      </c>
      <c r="M9">
        <v>350</v>
      </c>
      <c r="N9">
        <v>0.3</v>
      </c>
      <c r="O9">
        <v>1</v>
      </c>
      <c r="Q9" t="s">
        <v>30</v>
      </c>
      <c r="R9" t="s">
        <v>79</v>
      </c>
      <c r="S9" t="s">
        <v>71</v>
      </c>
      <c r="T9">
        <v>1.5</v>
      </c>
      <c r="U9">
        <v>1.5</v>
      </c>
      <c r="V9">
        <v>1</v>
      </c>
      <c r="W9">
        <v>0.5</v>
      </c>
      <c r="X9">
        <v>6.0000000000000001E-3</v>
      </c>
    </row>
    <row r="10" spans="1:24" x14ac:dyDescent="0.3">
      <c r="B10" t="s">
        <v>12</v>
      </c>
      <c r="E10" t="s">
        <v>31</v>
      </c>
      <c r="H10" t="s">
        <v>60</v>
      </c>
      <c r="I10" t="s">
        <v>61</v>
      </c>
      <c r="J10" t="s">
        <v>55</v>
      </c>
      <c r="K10">
        <v>0.37</v>
      </c>
      <c r="L10">
        <v>250</v>
      </c>
      <c r="M10">
        <v>400</v>
      </c>
      <c r="N10">
        <v>1</v>
      </c>
      <c r="O10">
        <v>1</v>
      </c>
      <c r="Q10" t="s">
        <v>31</v>
      </c>
      <c r="R10" t="s">
        <v>80</v>
      </c>
      <c r="S10" t="s">
        <v>71</v>
      </c>
      <c r="T10">
        <v>80</v>
      </c>
      <c r="U10">
        <v>80</v>
      </c>
      <c r="V10">
        <v>66</v>
      </c>
      <c r="W10">
        <v>66</v>
      </c>
      <c r="X10">
        <v>0</v>
      </c>
    </row>
    <row r="11" spans="1:24" x14ac:dyDescent="0.3">
      <c r="E11" t="s">
        <v>32</v>
      </c>
      <c r="Q11" t="s">
        <v>32</v>
      </c>
      <c r="R11" t="s">
        <v>81</v>
      </c>
      <c r="S11" t="s">
        <v>75</v>
      </c>
      <c r="T11">
        <v>3.5</v>
      </c>
      <c r="U11">
        <v>3.5</v>
      </c>
      <c r="V11">
        <v>1</v>
      </c>
      <c r="W11">
        <v>1</v>
      </c>
      <c r="X11">
        <v>5.9999999999999995E-4</v>
      </c>
    </row>
    <row r="12" spans="1:24" x14ac:dyDescent="0.3">
      <c r="E12" t="s">
        <v>33</v>
      </c>
      <c r="Q12" t="s">
        <v>33</v>
      </c>
      <c r="R12" t="s">
        <v>82</v>
      </c>
      <c r="S12" t="s">
        <v>75</v>
      </c>
      <c r="T12">
        <v>0</v>
      </c>
      <c r="U12">
        <v>0</v>
      </c>
      <c r="V12">
        <v>0</v>
      </c>
      <c r="W12">
        <v>0</v>
      </c>
      <c r="X12">
        <v>5.0000000000000001E-3</v>
      </c>
    </row>
    <row r="13" spans="1:24" x14ac:dyDescent="0.3">
      <c r="E13" t="s">
        <v>34</v>
      </c>
      <c r="Q13" t="s">
        <v>34</v>
      </c>
      <c r="R13" t="s">
        <v>83</v>
      </c>
      <c r="S13" t="s">
        <v>75</v>
      </c>
      <c r="T13">
        <v>10</v>
      </c>
      <c r="U13">
        <v>10</v>
      </c>
      <c r="V13">
        <v>10</v>
      </c>
      <c r="W13">
        <v>10</v>
      </c>
      <c r="X13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D6A4F"/>
  </sheetPr>
  <dimension ref="A1:C25"/>
  <sheetViews>
    <sheetView showGridLines="0" workbookViewId="0"/>
  </sheetViews>
  <sheetFormatPr defaultColWidth="11.5546875" defaultRowHeight="13.8" x14ac:dyDescent="0.3"/>
  <cols>
    <col min="1" max="1" width="10.6640625" customWidth="1"/>
    <col min="2" max="2" width="90.6640625" customWidth="1"/>
    <col min="3" max="3" width="70.6640625" customWidth="1"/>
  </cols>
  <sheetData>
    <row r="1" spans="1:3" ht="36" customHeight="1" x14ac:dyDescent="0.3">
      <c r="A1" s="20" t="s">
        <v>84</v>
      </c>
      <c r="B1" s="20"/>
      <c r="C1" s="20"/>
    </row>
    <row r="3" spans="1:3" x14ac:dyDescent="0.3">
      <c r="A3" s="1" t="s">
        <v>85</v>
      </c>
      <c r="B3" s="1" t="s">
        <v>86</v>
      </c>
    </row>
    <row r="4" spans="1:3" x14ac:dyDescent="0.3">
      <c r="A4" s="2" t="s">
        <v>87</v>
      </c>
      <c r="B4" s="2" t="s">
        <v>88</v>
      </c>
    </row>
    <row r="5" spans="1:3" x14ac:dyDescent="0.3">
      <c r="A5" s="3" t="s">
        <v>89</v>
      </c>
      <c r="B5" s="3" t="s">
        <v>90</v>
      </c>
    </row>
    <row r="6" spans="1:3" x14ac:dyDescent="0.3">
      <c r="A6" s="4" t="s">
        <v>91</v>
      </c>
      <c r="B6" s="4" t="s">
        <v>92</v>
      </c>
    </row>
    <row r="7" spans="1:3" x14ac:dyDescent="0.3">
      <c r="A7" s="5" t="s">
        <v>93</v>
      </c>
      <c r="B7" s="5" t="s">
        <v>94</v>
      </c>
    </row>
    <row r="8" spans="1:3" x14ac:dyDescent="0.3">
      <c r="A8" s="6" t="s">
        <v>95</v>
      </c>
      <c r="B8" s="6" t="s">
        <v>96</v>
      </c>
    </row>
    <row r="10" spans="1:3" x14ac:dyDescent="0.3">
      <c r="A10" s="1" t="s">
        <v>97</v>
      </c>
      <c r="B10" s="1" t="s">
        <v>98</v>
      </c>
    </row>
    <row r="11" spans="1:3" ht="30" customHeight="1" x14ac:dyDescent="0.3">
      <c r="A11" s="7" t="s">
        <v>99</v>
      </c>
      <c r="B11" s="8" t="s">
        <v>100</v>
      </c>
    </row>
    <row r="12" spans="1:3" ht="30" customHeight="1" x14ac:dyDescent="0.3">
      <c r="A12" s="7" t="s">
        <v>101</v>
      </c>
      <c r="B12" s="8" t="s">
        <v>102</v>
      </c>
    </row>
    <row r="13" spans="1:3" ht="30" customHeight="1" x14ac:dyDescent="0.3">
      <c r="A13" s="7" t="s">
        <v>103</v>
      </c>
      <c r="B13" s="8" t="s">
        <v>104</v>
      </c>
    </row>
    <row r="14" spans="1:3" ht="30" customHeight="1" x14ac:dyDescent="0.3">
      <c r="A14" s="7" t="s">
        <v>105</v>
      </c>
      <c r="B14" s="8" t="s">
        <v>106</v>
      </c>
    </row>
    <row r="15" spans="1:3" ht="30" customHeight="1" x14ac:dyDescent="0.3">
      <c r="A15" s="7" t="s">
        <v>107</v>
      </c>
      <c r="B15" s="8" t="s">
        <v>108</v>
      </c>
    </row>
    <row r="16" spans="1:3" ht="30" customHeight="1" x14ac:dyDescent="0.3">
      <c r="A16" s="7" t="s">
        <v>109</v>
      </c>
      <c r="B16" s="8" t="s">
        <v>110</v>
      </c>
    </row>
    <row r="17" spans="1:2" ht="30" customHeight="1" x14ac:dyDescent="0.3">
      <c r="A17" s="7" t="s">
        <v>111</v>
      </c>
      <c r="B17" s="8" t="s">
        <v>112</v>
      </c>
    </row>
    <row r="20" spans="1:2" x14ac:dyDescent="0.3">
      <c r="A20" s="1" t="s">
        <v>113</v>
      </c>
      <c r="B20" s="1" t="s">
        <v>114</v>
      </c>
    </row>
    <row r="21" spans="1:2" ht="20.399999999999999" x14ac:dyDescent="0.3">
      <c r="A21" s="8" t="s">
        <v>115</v>
      </c>
      <c r="B21" s="8" t="s">
        <v>116</v>
      </c>
    </row>
    <row r="22" spans="1:2" ht="20.399999999999999" x14ac:dyDescent="0.3">
      <c r="A22" s="8" t="s">
        <v>117</v>
      </c>
      <c r="B22" s="8" t="s">
        <v>118</v>
      </c>
    </row>
    <row r="23" spans="1:2" ht="20.399999999999999" x14ac:dyDescent="0.3">
      <c r="A23" s="8" t="s">
        <v>119</v>
      </c>
      <c r="B23" s="8" t="s">
        <v>120</v>
      </c>
    </row>
    <row r="24" spans="1:2" ht="20.399999999999999" x14ac:dyDescent="0.3">
      <c r="A24" s="8" t="s">
        <v>121</v>
      </c>
      <c r="B24" s="8" t="s">
        <v>122</v>
      </c>
    </row>
    <row r="25" spans="1:2" x14ac:dyDescent="0.3">
      <c r="A25" s="8" t="s">
        <v>123</v>
      </c>
      <c r="B25" s="8" t="s">
        <v>124</v>
      </c>
    </row>
  </sheetData>
  <mergeCells count="1">
    <mergeCell ref="A1:C1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D6A4F"/>
  </sheetPr>
  <dimension ref="A1:D8"/>
  <sheetViews>
    <sheetView showGridLines="0" workbookViewId="0">
      <pane ySplit="1" topLeftCell="A2" activePane="bottomLeft" state="frozen"/>
      <selection pane="bottomLeft"/>
    </sheetView>
  </sheetViews>
  <sheetFormatPr defaultColWidth="11.5546875" defaultRowHeight="13.8" x14ac:dyDescent="0.3"/>
  <cols>
    <col min="1" max="1" width="4.6640625" customWidth="1"/>
    <col min="2" max="2" width="24.6640625" customWidth="1"/>
    <col min="3" max="3" width="36.6640625" customWidth="1"/>
    <col min="4" max="4" width="60.6640625" customWidth="1"/>
  </cols>
  <sheetData>
    <row r="1" spans="1:4" ht="24" customHeight="1" x14ac:dyDescent="0.3">
      <c r="A1" s="1" t="s">
        <v>125</v>
      </c>
      <c r="B1" s="1" t="s">
        <v>126</v>
      </c>
      <c r="C1" s="1" t="s">
        <v>127</v>
      </c>
      <c r="D1" s="1" t="s">
        <v>128</v>
      </c>
    </row>
    <row r="2" spans="1:4" ht="24" customHeight="1" x14ac:dyDescent="0.3">
      <c r="B2" s="9" t="s">
        <v>129</v>
      </c>
      <c r="C2" s="2" t="s">
        <v>125</v>
      </c>
      <c r="D2" s="8" t="s">
        <v>130</v>
      </c>
    </row>
    <row r="3" spans="1:4" ht="24" customHeight="1" x14ac:dyDescent="0.3">
      <c r="B3" s="9" t="s">
        <v>131</v>
      </c>
      <c r="C3" s="2" t="s">
        <v>125</v>
      </c>
      <c r="D3" s="8" t="s">
        <v>132</v>
      </c>
    </row>
    <row r="4" spans="1:4" ht="24" customHeight="1" x14ac:dyDescent="0.3">
      <c r="B4" s="9" t="s">
        <v>133</v>
      </c>
      <c r="C4" s="2" t="s">
        <v>125</v>
      </c>
      <c r="D4" s="8" t="s">
        <v>134</v>
      </c>
    </row>
    <row r="5" spans="1:4" ht="24" customHeight="1" x14ac:dyDescent="0.3">
      <c r="B5" s="9" t="s">
        <v>135</v>
      </c>
      <c r="C5" s="6" t="s">
        <v>2</v>
      </c>
      <c r="D5" s="8" t="s">
        <v>136</v>
      </c>
    </row>
    <row r="6" spans="1:4" ht="24" customHeight="1" x14ac:dyDescent="0.3">
      <c r="B6" s="9" t="s">
        <v>137</v>
      </c>
      <c r="C6" s="6" t="s">
        <v>125</v>
      </c>
      <c r="D6" s="8" t="s">
        <v>138</v>
      </c>
    </row>
    <row r="7" spans="1:4" ht="24" customHeight="1" x14ac:dyDescent="0.3">
      <c r="B7" s="9" t="s">
        <v>139</v>
      </c>
      <c r="C7" s="6" t="s">
        <v>125</v>
      </c>
      <c r="D7" s="8" t="s">
        <v>140</v>
      </c>
    </row>
    <row r="8" spans="1:4" ht="24" customHeight="1" x14ac:dyDescent="0.3"/>
  </sheetData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_Lists!$F$2:$F$4</xm:f>
          </x14:formula1>
          <xm:sqref>C4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B4332"/>
  </sheetPr>
  <dimension ref="A1:P203"/>
  <sheetViews>
    <sheetView tabSelected="1" workbookViewId="0">
      <pane xSplit="1" ySplit="3" topLeftCell="D4" activePane="bottomRight" state="frozen"/>
      <selection pane="topRight"/>
      <selection pane="bottomLeft"/>
      <selection pane="bottomRight" activeCell="G6" sqref="G6"/>
    </sheetView>
  </sheetViews>
  <sheetFormatPr defaultColWidth="11.5546875" defaultRowHeight="13.8" x14ac:dyDescent="0.3"/>
  <cols>
    <col min="1" max="1" width="14.6640625" customWidth="1"/>
    <col min="2" max="2" width="20.6640625" customWidth="1"/>
    <col min="3" max="3" width="16.6640625" customWidth="1"/>
    <col min="4" max="4" width="15.6640625" customWidth="1"/>
    <col min="5" max="5" width="46.6640625" customWidth="1"/>
    <col min="6" max="6" width="16.6640625" customWidth="1"/>
    <col min="7" max="7" width="10.6640625" customWidth="1"/>
    <col min="8" max="8" width="14.6640625" customWidth="1"/>
    <col min="9" max="11" width="12.6640625" customWidth="1"/>
    <col min="12" max="13" width="10.6640625" customWidth="1"/>
    <col min="14" max="14" width="14.6640625" customWidth="1"/>
    <col min="15" max="15" width="12.6640625" customWidth="1"/>
    <col min="16" max="16" width="22.6640625" customWidth="1"/>
  </cols>
  <sheetData>
    <row r="1" spans="1:16" ht="43.95" customHeight="1" x14ac:dyDescent="0.3">
      <c r="A1" s="21" t="s">
        <v>141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16" ht="13.95" customHeight="1" x14ac:dyDescent="0.3">
      <c r="A2" s="10" t="s">
        <v>142</v>
      </c>
      <c r="B2" s="10" t="s">
        <v>142</v>
      </c>
      <c r="C2" s="10" t="s">
        <v>143</v>
      </c>
      <c r="D2" s="10" t="s">
        <v>144</v>
      </c>
      <c r="E2" s="10" t="s">
        <v>144</v>
      </c>
      <c r="F2" s="10" t="s">
        <v>144</v>
      </c>
      <c r="G2" s="10" t="s">
        <v>142</v>
      </c>
      <c r="H2" s="10" t="s">
        <v>142</v>
      </c>
      <c r="I2" s="10" t="s">
        <v>145</v>
      </c>
      <c r="J2" s="10" t="s">
        <v>145</v>
      </c>
      <c r="K2" s="10" t="s">
        <v>146</v>
      </c>
      <c r="L2" s="10" t="s">
        <v>147</v>
      </c>
      <c r="M2" s="10" t="s">
        <v>147</v>
      </c>
      <c r="N2" s="10" t="s">
        <v>144</v>
      </c>
      <c r="O2" s="10" t="s">
        <v>144</v>
      </c>
      <c r="P2" s="10" t="s">
        <v>143</v>
      </c>
    </row>
    <row r="3" spans="1:16" ht="28.05" customHeight="1" x14ac:dyDescent="0.3">
      <c r="A3" s="1" t="s">
        <v>148</v>
      </c>
      <c r="B3" s="1" t="s">
        <v>149</v>
      </c>
      <c r="C3" s="1" t="s">
        <v>150</v>
      </c>
      <c r="D3" s="1" t="s">
        <v>151</v>
      </c>
      <c r="E3" s="1" t="s">
        <v>152</v>
      </c>
      <c r="F3" s="1" t="s">
        <v>153</v>
      </c>
      <c r="G3" s="1" t="s">
        <v>154</v>
      </c>
      <c r="H3" s="1" t="s">
        <v>155</v>
      </c>
      <c r="I3" s="1" t="s">
        <v>156</v>
      </c>
      <c r="J3" s="1" t="s">
        <v>157</v>
      </c>
      <c r="K3" s="1" t="s">
        <v>158</v>
      </c>
      <c r="L3" s="1" t="s">
        <v>159</v>
      </c>
      <c r="M3" s="1" t="s">
        <v>160</v>
      </c>
      <c r="N3" s="1" t="s">
        <v>161</v>
      </c>
      <c r="O3" s="1" t="s">
        <v>162</v>
      </c>
      <c r="P3" s="1" t="s">
        <v>163</v>
      </c>
    </row>
    <row r="4" spans="1:16" ht="18" customHeight="1" x14ac:dyDescent="0.3">
      <c r="A4" s="24" t="s">
        <v>164</v>
      </c>
      <c r="B4" s="24" t="s">
        <v>407</v>
      </c>
      <c r="C4" s="24" t="s">
        <v>47</v>
      </c>
      <c r="D4" s="4" t="s">
        <v>165</v>
      </c>
      <c r="E4" s="4" t="s">
        <v>166</v>
      </c>
      <c r="F4" s="4" t="s">
        <v>167</v>
      </c>
      <c r="G4" s="26">
        <v>24682.82</v>
      </c>
      <c r="H4" s="26">
        <v>2.1</v>
      </c>
      <c r="I4" s="6"/>
      <c r="J4" s="6"/>
      <c r="K4" s="3" t="s">
        <v>4</v>
      </c>
      <c r="L4" s="5">
        <f t="shared" ref="L4:L11" si="0">IF(I4&lt;&gt;"",I4,IF(AND(G4&lt;&gt;"",H4&lt;&gt;""),G4*(1-H4/100),""))</f>
        <v>24164.480779999998</v>
      </c>
      <c r="M4" s="5">
        <f t="shared" ref="M4:M11" si="1">IF(J4&lt;&gt;"",J4,IF(AND(G4&lt;&gt;"",H4&lt;&gt;""),G4*(1+H4/100),""))</f>
        <v>25201.159219999998</v>
      </c>
      <c r="N4" s="4" t="s">
        <v>14</v>
      </c>
      <c r="O4" s="4" t="s">
        <v>125</v>
      </c>
      <c r="P4" s="6" t="s">
        <v>125</v>
      </c>
    </row>
    <row r="5" spans="1:16" ht="18" customHeight="1" x14ac:dyDescent="0.3">
      <c r="A5" s="25" t="s">
        <v>164</v>
      </c>
      <c r="B5" s="25" t="s">
        <v>407</v>
      </c>
      <c r="C5" s="25" t="s">
        <v>47</v>
      </c>
      <c r="D5" s="4" t="s">
        <v>168</v>
      </c>
      <c r="E5" s="4" t="s">
        <v>169</v>
      </c>
      <c r="F5" s="4" t="s">
        <v>170</v>
      </c>
      <c r="G5" s="27">
        <v>539</v>
      </c>
      <c r="H5" s="27">
        <v>9</v>
      </c>
      <c r="I5" s="6"/>
      <c r="J5" s="6"/>
      <c r="K5" s="3" t="s">
        <v>4</v>
      </c>
      <c r="L5" s="5">
        <f t="shared" si="0"/>
        <v>490.49</v>
      </c>
      <c r="M5" s="5">
        <f t="shared" si="1"/>
        <v>587.51</v>
      </c>
      <c r="N5" s="4" t="s">
        <v>15</v>
      </c>
      <c r="O5" s="4" t="s">
        <v>171</v>
      </c>
      <c r="P5" s="6" t="s">
        <v>125</v>
      </c>
    </row>
    <row r="6" spans="1:16" ht="18" customHeight="1" x14ac:dyDescent="0.3">
      <c r="A6" s="24" t="s">
        <v>164</v>
      </c>
      <c r="B6" s="24" t="s">
        <v>407</v>
      </c>
      <c r="C6" s="24" t="s">
        <v>47</v>
      </c>
      <c r="D6" s="4" t="s">
        <v>172</v>
      </c>
      <c r="E6" s="4" t="s">
        <v>173</v>
      </c>
      <c r="F6" s="4" t="s">
        <v>170</v>
      </c>
      <c r="G6" s="26">
        <v>539</v>
      </c>
      <c r="H6" s="26">
        <v>9</v>
      </c>
      <c r="I6" s="6"/>
      <c r="J6" s="6"/>
      <c r="K6" s="3" t="s">
        <v>4</v>
      </c>
      <c r="L6" s="5">
        <f t="shared" si="0"/>
        <v>490.49</v>
      </c>
      <c r="M6" s="5">
        <f t="shared" si="1"/>
        <v>587.51</v>
      </c>
      <c r="N6" s="4" t="s">
        <v>15</v>
      </c>
      <c r="O6" s="4" t="s">
        <v>171</v>
      </c>
      <c r="P6" s="6" t="s">
        <v>125</v>
      </c>
    </row>
    <row r="7" spans="1:16" ht="18" customHeight="1" x14ac:dyDescent="0.3">
      <c r="A7" s="25" t="s">
        <v>164</v>
      </c>
      <c r="B7" s="25" t="s">
        <v>407</v>
      </c>
      <c r="C7" s="25" t="s">
        <v>47</v>
      </c>
      <c r="D7" s="4" t="s">
        <v>174</v>
      </c>
      <c r="E7" s="4" t="s">
        <v>175</v>
      </c>
      <c r="F7" s="4" t="s">
        <v>176</v>
      </c>
      <c r="G7" s="27">
        <v>0</v>
      </c>
      <c r="H7" s="25">
        <v>0</v>
      </c>
      <c r="I7" s="6"/>
      <c r="J7" s="6"/>
      <c r="K7" s="3" t="s">
        <v>9</v>
      </c>
      <c r="L7" s="5">
        <f t="shared" si="0"/>
        <v>0</v>
      </c>
      <c r="M7" s="5">
        <f t="shared" si="1"/>
        <v>0</v>
      </c>
      <c r="N7" s="4" t="s">
        <v>15</v>
      </c>
      <c r="O7" s="4" t="s">
        <v>177</v>
      </c>
      <c r="P7" s="6" t="s">
        <v>125</v>
      </c>
    </row>
    <row r="8" spans="1:16" ht="18" customHeight="1" x14ac:dyDescent="0.3">
      <c r="A8" s="24" t="s">
        <v>164</v>
      </c>
      <c r="B8" s="24" t="s">
        <v>407</v>
      </c>
      <c r="C8" s="24" t="s">
        <v>47</v>
      </c>
      <c r="D8" s="4" t="s">
        <v>178</v>
      </c>
      <c r="E8" s="4" t="s">
        <v>179</v>
      </c>
      <c r="F8" s="4" t="s">
        <v>180</v>
      </c>
      <c r="G8" s="26">
        <v>15.63</v>
      </c>
      <c r="H8" s="26">
        <v>13.5</v>
      </c>
      <c r="I8" s="6"/>
      <c r="J8" s="6"/>
      <c r="K8" s="3" t="s">
        <v>4</v>
      </c>
      <c r="L8" s="5">
        <f t="shared" si="0"/>
        <v>13.51995</v>
      </c>
      <c r="M8" s="5">
        <f t="shared" si="1"/>
        <v>17.74005</v>
      </c>
      <c r="N8" s="4" t="s">
        <v>15</v>
      </c>
      <c r="O8" s="4" t="s">
        <v>125</v>
      </c>
      <c r="P8" s="6" t="s">
        <v>125</v>
      </c>
    </row>
    <row r="9" spans="1:16" ht="18" customHeight="1" x14ac:dyDescent="0.3">
      <c r="A9" s="25" t="s">
        <v>164</v>
      </c>
      <c r="B9" s="25" t="s">
        <v>407</v>
      </c>
      <c r="C9" s="25" t="s">
        <v>47</v>
      </c>
      <c r="D9" s="4" t="s">
        <v>181</v>
      </c>
      <c r="E9" s="4" t="s">
        <v>182</v>
      </c>
      <c r="F9" s="4" t="s">
        <v>183</v>
      </c>
      <c r="G9" s="27">
        <v>3.8</v>
      </c>
      <c r="H9" s="27">
        <v>10</v>
      </c>
      <c r="I9" s="6"/>
      <c r="J9" s="6"/>
      <c r="K9" s="3" t="s">
        <v>4</v>
      </c>
      <c r="L9" s="5">
        <f t="shared" si="0"/>
        <v>3.42</v>
      </c>
      <c r="M9" s="5">
        <f t="shared" si="1"/>
        <v>4.18</v>
      </c>
      <c r="N9" s="4" t="s">
        <v>15</v>
      </c>
      <c r="O9" s="4" t="s">
        <v>125</v>
      </c>
      <c r="P9" s="6" t="s">
        <v>125</v>
      </c>
    </row>
    <row r="10" spans="1:16" ht="18" customHeight="1" x14ac:dyDescent="0.3">
      <c r="A10" s="24" t="s">
        <v>164</v>
      </c>
      <c r="B10" s="24" t="s">
        <v>407</v>
      </c>
      <c r="C10" s="24" t="s">
        <v>47</v>
      </c>
      <c r="D10" s="4" t="s">
        <v>184</v>
      </c>
      <c r="E10" s="4" t="s">
        <v>185</v>
      </c>
      <c r="F10" s="4" t="s">
        <v>186</v>
      </c>
      <c r="G10" s="26">
        <v>0.81030000000000002</v>
      </c>
      <c r="H10" s="26">
        <v>4.5</v>
      </c>
      <c r="I10" s="6"/>
      <c r="J10" s="6"/>
      <c r="K10" s="3" t="s">
        <v>7</v>
      </c>
      <c r="L10" s="5">
        <f t="shared" si="0"/>
        <v>0.77383650000000004</v>
      </c>
      <c r="M10" s="5">
        <f t="shared" si="1"/>
        <v>0.8467635</v>
      </c>
      <c r="N10" s="4" t="s">
        <v>15</v>
      </c>
      <c r="O10" s="4" t="s">
        <v>125</v>
      </c>
      <c r="P10" s="6" t="s">
        <v>125</v>
      </c>
    </row>
    <row r="11" spans="1:16" ht="18" customHeight="1" x14ac:dyDescent="0.3">
      <c r="A11" s="25" t="s">
        <v>164</v>
      </c>
      <c r="B11" s="25" t="s">
        <v>407</v>
      </c>
      <c r="C11" s="25" t="s">
        <v>47</v>
      </c>
      <c r="D11" s="4" t="s">
        <v>187</v>
      </c>
      <c r="E11" s="4" t="s">
        <v>188</v>
      </c>
      <c r="F11" s="4" t="s">
        <v>183</v>
      </c>
      <c r="G11" s="27">
        <v>73.52</v>
      </c>
      <c r="H11" s="25"/>
      <c r="I11" s="27">
        <v>56.830959999999997</v>
      </c>
      <c r="J11" s="27">
        <v>77.710639999999998</v>
      </c>
      <c r="K11" s="3" t="s">
        <v>8</v>
      </c>
      <c r="L11" s="5">
        <f t="shared" si="0"/>
        <v>56.830959999999997</v>
      </c>
      <c r="M11" s="5">
        <f t="shared" si="1"/>
        <v>77.710639999999998</v>
      </c>
      <c r="N11" s="4" t="s">
        <v>15</v>
      </c>
      <c r="O11" s="4" t="s">
        <v>189</v>
      </c>
      <c r="P11" s="6" t="s">
        <v>125</v>
      </c>
    </row>
    <row r="12" spans="1:16" ht="18" customHeight="1" x14ac:dyDescent="0.3">
      <c r="A12" s="24" t="s">
        <v>164</v>
      </c>
      <c r="B12" s="24" t="s">
        <v>407</v>
      </c>
      <c r="C12" s="24" t="s">
        <v>47</v>
      </c>
      <c r="D12" s="4" t="s">
        <v>42</v>
      </c>
      <c r="E12" s="4" t="s">
        <v>190</v>
      </c>
      <c r="F12" s="4" t="s">
        <v>191</v>
      </c>
      <c r="G12" s="27">
        <v>0.38318200000000002</v>
      </c>
      <c r="H12" s="27">
        <v>15</v>
      </c>
      <c r="I12" s="6"/>
      <c r="J12" s="6"/>
      <c r="K12" s="3" t="s">
        <v>7</v>
      </c>
      <c r="L12" s="5">
        <v>0.2702</v>
      </c>
      <c r="M12" s="5">
        <v>0.50180000000000002</v>
      </c>
      <c r="N12" s="4" t="s">
        <v>15</v>
      </c>
      <c r="O12" s="4" t="s">
        <v>192</v>
      </c>
      <c r="P12" s="6" t="s">
        <v>125</v>
      </c>
    </row>
    <row r="13" spans="1:16" ht="18" customHeight="1" x14ac:dyDescent="0.3">
      <c r="A13" s="25" t="s">
        <v>164</v>
      </c>
      <c r="B13" s="25" t="s">
        <v>407</v>
      </c>
      <c r="C13" s="25" t="s">
        <v>47</v>
      </c>
      <c r="D13" s="4" t="s">
        <v>193</v>
      </c>
      <c r="E13" s="4" t="s">
        <v>194</v>
      </c>
      <c r="F13" s="4" t="s">
        <v>195</v>
      </c>
      <c r="G13" s="11">
        <v>0</v>
      </c>
      <c r="H13" s="11">
        <v>0</v>
      </c>
      <c r="I13" s="6"/>
      <c r="J13" s="6"/>
      <c r="K13" s="3" t="s">
        <v>10</v>
      </c>
      <c r="L13" s="5">
        <v>0</v>
      </c>
      <c r="M13" s="5">
        <v>0</v>
      </c>
      <c r="N13" s="4" t="s">
        <v>15</v>
      </c>
      <c r="O13" s="4" t="s">
        <v>196</v>
      </c>
      <c r="P13" s="6" t="s">
        <v>125</v>
      </c>
    </row>
    <row r="14" spans="1:16" ht="18" customHeight="1" x14ac:dyDescent="0.3">
      <c r="A14" s="24" t="s">
        <v>164</v>
      </c>
      <c r="B14" s="24" t="s">
        <v>407</v>
      </c>
      <c r="C14" s="24" t="s">
        <v>47</v>
      </c>
      <c r="D14" s="4" t="s">
        <v>197</v>
      </c>
      <c r="E14" s="4" t="s">
        <v>198</v>
      </c>
      <c r="F14" s="4" t="s">
        <v>195</v>
      </c>
      <c r="G14" s="11">
        <v>0.8</v>
      </c>
      <c r="H14" s="11">
        <v>15</v>
      </c>
      <c r="I14" s="6"/>
      <c r="J14" s="6"/>
      <c r="K14" s="3" t="s">
        <v>9</v>
      </c>
      <c r="L14" s="5">
        <v>0.56000000000000005</v>
      </c>
      <c r="M14" s="5">
        <v>1.04</v>
      </c>
      <c r="N14" s="4" t="s">
        <v>15</v>
      </c>
      <c r="O14" s="4" t="s">
        <v>199</v>
      </c>
      <c r="P14" s="6" t="s">
        <v>125</v>
      </c>
    </row>
    <row r="15" spans="1:16" ht="18" customHeight="1" x14ac:dyDescent="0.3">
      <c r="A15" s="25" t="s">
        <v>164</v>
      </c>
      <c r="B15" s="25" t="s">
        <v>407</v>
      </c>
      <c r="C15" s="25" t="s">
        <v>47</v>
      </c>
      <c r="D15" s="4" t="s">
        <v>200</v>
      </c>
      <c r="E15" s="4" t="s">
        <v>201</v>
      </c>
      <c r="F15" s="4" t="s">
        <v>195</v>
      </c>
      <c r="G15" s="11">
        <v>0.1</v>
      </c>
      <c r="H15" s="11">
        <v>15</v>
      </c>
      <c r="I15" s="6"/>
      <c r="J15" s="6"/>
      <c r="K15" s="3" t="s">
        <v>7</v>
      </c>
      <c r="L15" s="5">
        <v>0.09</v>
      </c>
      <c r="M15" s="5">
        <v>0.11</v>
      </c>
      <c r="N15" s="4" t="s">
        <v>15</v>
      </c>
      <c r="O15" s="4" t="s">
        <v>202</v>
      </c>
      <c r="P15" s="6" t="s">
        <v>125</v>
      </c>
    </row>
    <row r="16" spans="1:16" ht="18" customHeight="1" x14ac:dyDescent="0.3">
      <c r="A16" s="24" t="s">
        <v>164</v>
      </c>
      <c r="B16" s="24" t="s">
        <v>407</v>
      </c>
      <c r="C16" s="24" t="s">
        <v>47</v>
      </c>
      <c r="D16" s="4" t="s">
        <v>203</v>
      </c>
      <c r="E16" s="4" t="s">
        <v>204</v>
      </c>
      <c r="F16" s="4" t="s">
        <v>205</v>
      </c>
      <c r="G16" s="2">
        <v>0</v>
      </c>
      <c r="H16" s="2">
        <v>0</v>
      </c>
      <c r="I16" s="6"/>
      <c r="J16" s="6"/>
      <c r="K16" s="3" t="s">
        <v>9</v>
      </c>
      <c r="L16" s="5">
        <f>IF(I16&lt;&gt;"",I16,IF(AND(G16&lt;&gt;"",H16&lt;&gt;""),G16*(1-H16/100),""))</f>
        <v>0</v>
      </c>
      <c r="M16" s="5">
        <f>IF(J16&lt;&gt;"",J16,IF(AND(G16&lt;&gt;"",H16&lt;&gt;""),G16*(1+H16/100),""))</f>
        <v>0</v>
      </c>
      <c r="N16" s="4" t="s">
        <v>15</v>
      </c>
      <c r="O16" s="4" t="s">
        <v>206</v>
      </c>
      <c r="P16" s="6" t="s">
        <v>125</v>
      </c>
    </row>
    <row r="17" spans="1:16" ht="18" customHeight="1" x14ac:dyDescent="0.3">
      <c r="A17" s="25" t="s">
        <v>164</v>
      </c>
      <c r="B17" s="25" t="s">
        <v>407</v>
      </c>
      <c r="C17" s="25" t="s">
        <v>47</v>
      </c>
      <c r="D17" s="4" t="s">
        <v>207</v>
      </c>
      <c r="E17" s="4" t="s">
        <v>208</v>
      </c>
      <c r="F17" s="4" t="s">
        <v>183</v>
      </c>
      <c r="G17" s="26">
        <v>14.8</v>
      </c>
      <c r="H17" s="24"/>
      <c r="I17" s="26">
        <v>10.9185</v>
      </c>
      <c r="J17" s="26">
        <v>15.32</v>
      </c>
      <c r="K17" s="3" t="s">
        <v>8</v>
      </c>
      <c r="L17" s="5">
        <f>IF(I17&lt;&gt;"",I17,IF(AND(G17&lt;&gt;"",H17&lt;&gt;""),G17*(1-H17/100),""))</f>
        <v>10.9185</v>
      </c>
      <c r="M17" s="5">
        <f>IF(J17&lt;&gt;"",J17,IF(AND(G17&lt;&gt;"",H17&lt;&gt;""),G17*(1+H17/100),""))</f>
        <v>15.32</v>
      </c>
      <c r="N17" s="4" t="s">
        <v>15</v>
      </c>
      <c r="O17" s="4" t="s">
        <v>209</v>
      </c>
      <c r="P17" s="6" t="s">
        <v>125</v>
      </c>
    </row>
    <row r="18" spans="1:16" ht="18" customHeight="1" x14ac:dyDescent="0.3">
      <c r="A18" s="24" t="s">
        <v>164</v>
      </c>
      <c r="B18" s="24" t="s">
        <v>407</v>
      </c>
      <c r="C18" s="24" t="s">
        <v>47</v>
      </c>
      <c r="D18" s="4" t="s">
        <v>210</v>
      </c>
      <c r="E18" s="4" t="s">
        <v>211</v>
      </c>
      <c r="F18" s="4" t="s">
        <v>183</v>
      </c>
      <c r="G18" s="26">
        <v>6.3</v>
      </c>
      <c r="H18" s="26">
        <v>20</v>
      </c>
      <c r="I18" s="6"/>
      <c r="J18" s="6"/>
      <c r="K18" s="3" t="s">
        <v>4</v>
      </c>
      <c r="L18" s="5">
        <v>5.98</v>
      </c>
      <c r="M18" s="5">
        <v>7.02</v>
      </c>
      <c r="N18" s="4" t="s">
        <v>15</v>
      </c>
      <c r="O18" s="4" t="s">
        <v>212</v>
      </c>
      <c r="P18" s="6" t="s">
        <v>125</v>
      </c>
    </row>
    <row r="19" spans="1:16" ht="18" customHeight="1" x14ac:dyDescent="0.3">
      <c r="A19" s="25" t="s">
        <v>164</v>
      </c>
      <c r="B19" s="25" t="s">
        <v>407</v>
      </c>
      <c r="C19" s="25" t="s">
        <v>47</v>
      </c>
      <c r="D19" s="4" t="s">
        <v>213</v>
      </c>
      <c r="E19" s="4" t="s">
        <v>214</v>
      </c>
      <c r="F19" s="4" t="s">
        <v>215</v>
      </c>
      <c r="G19" s="11">
        <v>0.24</v>
      </c>
      <c r="H19" s="11">
        <v>15</v>
      </c>
      <c r="I19" s="6"/>
      <c r="J19" s="6"/>
      <c r="K19" s="3" t="s">
        <v>9</v>
      </c>
      <c r="L19" s="5">
        <f>G19*(1-(H19/100))</f>
        <v>0.20399999999999999</v>
      </c>
      <c r="M19" s="5">
        <f>G19*(1+(H19/100))</f>
        <v>0.27599999999999997</v>
      </c>
      <c r="N19" s="4" t="s">
        <v>15</v>
      </c>
      <c r="O19" s="4" t="s">
        <v>216</v>
      </c>
      <c r="P19" s="6" t="s">
        <v>125</v>
      </c>
    </row>
    <row r="20" spans="1:16" ht="18" customHeight="1" x14ac:dyDescent="0.3">
      <c r="A20" s="2" t="s">
        <v>164</v>
      </c>
      <c r="B20" s="25" t="s">
        <v>407</v>
      </c>
      <c r="C20" s="25" t="s">
        <v>47</v>
      </c>
      <c r="D20" s="4" t="s">
        <v>217</v>
      </c>
      <c r="E20" s="4" t="s">
        <v>218</v>
      </c>
      <c r="F20" s="4" t="s">
        <v>219</v>
      </c>
      <c r="G20" s="11">
        <v>0.08</v>
      </c>
      <c r="H20" s="11">
        <v>10</v>
      </c>
      <c r="I20" s="6"/>
      <c r="J20" s="6"/>
      <c r="K20" s="3" t="s">
        <v>9</v>
      </c>
      <c r="L20" s="5">
        <v>0.06</v>
      </c>
      <c r="M20" s="5">
        <v>0.1</v>
      </c>
      <c r="N20" s="4" t="s">
        <v>15</v>
      </c>
      <c r="O20" s="4" t="s">
        <v>220</v>
      </c>
      <c r="P20" s="6" t="s">
        <v>125</v>
      </c>
    </row>
    <row r="21" spans="1:16" ht="18" customHeight="1" x14ac:dyDescent="0.3">
      <c r="A21" s="2" t="s">
        <v>164</v>
      </c>
      <c r="B21" s="25" t="s">
        <v>407</v>
      </c>
      <c r="C21" s="25" t="s">
        <v>47</v>
      </c>
      <c r="D21" s="4" t="s">
        <v>221</v>
      </c>
      <c r="E21" s="4" t="s">
        <v>222</v>
      </c>
      <c r="F21" s="4" t="s">
        <v>219</v>
      </c>
      <c r="G21" s="11">
        <v>0.04</v>
      </c>
      <c r="H21" s="11">
        <v>10</v>
      </c>
      <c r="I21" s="6"/>
      <c r="J21" s="6"/>
      <c r="K21" s="3" t="s">
        <v>9</v>
      </c>
      <c r="L21" s="5">
        <v>0.03</v>
      </c>
      <c r="M21" s="5">
        <v>0.05</v>
      </c>
      <c r="N21" s="4" t="s">
        <v>15</v>
      </c>
      <c r="O21" s="4" t="s">
        <v>220</v>
      </c>
      <c r="P21" s="6" t="s">
        <v>125</v>
      </c>
    </row>
    <row r="22" spans="1:16" ht="18" customHeight="1" x14ac:dyDescent="0.3">
      <c r="A22" s="2" t="s">
        <v>164</v>
      </c>
      <c r="B22" s="25" t="s">
        <v>407</v>
      </c>
      <c r="C22" s="25" t="s">
        <v>47</v>
      </c>
      <c r="D22" s="4" t="s">
        <v>223</v>
      </c>
      <c r="E22" s="4" t="s">
        <v>224</v>
      </c>
      <c r="F22" s="4" t="s">
        <v>225</v>
      </c>
      <c r="G22" s="11">
        <v>6.0000000000000001E-3</v>
      </c>
      <c r="H22" s="11"/>
      <c r="I22" s="6">
        <v>0</v>
      </c>
      <c r="J22" s="6">
        <v>2.7E-2</v>
      </c>
      <c r="K22" s="3" t="s">
        <v>9</v>
      </c>
      <c r="L22" s="5">
        <f>IF(I22&lt;&gt;"",I22,IF(AND(G22&lt;&gt;"",H22&lt;&gt;""),G22*(1-H22/100),""))</f>
        <v>0</v>
      </c>
      <c r="M22" s="5">
        <f>IF(J22&lt;&gt;"",J22,IF(AND(G22&lt;&gt;"",H22&lt;&gt;""),G22*(1+H22/100),""))</f>
        <v>2.7E-2</v>
      </c>
      <c r="N22" s="4" t="s">
        <v>15</v>
      </c>
      <c r="O22" s="4" t="s">
        <v>226</v>
      </c>
      <c r="P22" s="6" t="s">
        <v>125</v>
      </c>
    </row>
    <row r="23" spans="1:16" ht="18" customHeight="1" x14ac:dyDescent="0.3">
      <c r="A23" s="2" t="s">
        <v>164</v>
      </c>
      <c r="B23" s="25" t="s">
        <v>407</v>
      </c>
      <c r="C23" s="25" t="s">
        <v>47</v>
      </c>
      <c r="D23" s="4" t="s">
        <v>227</v>
      </c>
      <c r="E23" s="4" t="s">
        <v>228</v>
      </c>
      <c r="F23" s="4" t="s">
        <v>225</v>
      </c>
      <c r="G23" s="11"/>
      <c r="H23" s="11"/>
      <c r="I23" s="6"/>
      <c r="J23" s="6"/>
      <c r="K23" s="3" t="s">
        <v>9</v>
      </c>
      <c r="L23" s="5" t="str">
        <f t="shared" ref="L23:L30" si="2">IF(I23&lt;&gt;"",I23,IF(AND(G23&lt;&gt;"",H23&lt;&gt;""),G23*(1-H23/100),""))</f>
        <v/>
      </c>
      <c r="M23" s="5" t="str">
        <f t="shared" ref="M23:M30" si="3">IF(J23&lt;&gt;"",J23,IF(AND(G23&lt;&gt;"",H23&lt;&gt;""),G23*(1+H23/100),""))</f>
        <v/>
      </c>
      <c r="N23" s="4" t="s">
        <v>15</v>
      </c>
      <c r="O23" s="4" t="s">
        <v>229</v>
      </c>
      <c r="P23" s="6" t="s">
        <v>125</v>
      </c>
    </row>
    <row r="24" spans="1:16" ht="18" customHeight="1" x14ac:dyDescent="0.3">
      <c r="A24" s="2" t="s">
        <v>164</v>
      </c>
      <c r="B24" s="25" t="s">
        <v>407</v>
      </c>
      <c r="C24" s="25" t="s">
        <v>47</v>
      </c>
      <c r="D24" s="4" t="s">
        <v>230</v>
      </c>
      <c r="E24" s="4" t="s">
        <v>231</v>
      </c>
      <c r="F24" s="4" t="s">
        <v>219</v>
      </c>
      <c r="G24" s="11"/>
      <c r="H24" s="11"/>
      <c r="I24" s="6"/>
      <c r="J24" s="6"/>
      <c r="K24" s="3" t="s">
        <v>9</v>
      </c>
      <c r="L24" s="5" t="str">
        <f t="shared" si="2"/>
        <v/>
      </c>
      <c r="M24" s="5" t="str">
        <f t="shared" si="3"/>
        <v/>
      </c>
      <c r="N24" s="4" t="s">
        <v>15</v>
      </c>
      <c r="O24" s="4" t="s">
        <v>232</v>
      </c>
      <c r="P24" s="6" t="s">
        <v>125</v>
      </c>
    </row>
    <row r="25" spans="1:16" ht="18" customHeight="1" x14ac:dyDescent="0.3">
      <c r="A25" s="2" t="s">
        <v>164</v>
      </c>
      <c r="B25" s="25" t="s">
        <v>407</v>
      </c>
      <c r="C25" s="25" t="s">
        <v>47</v>
      </c>
      <c r="D25" s="4" t="s">
        <v>233</v>
      </c>
      <c r="E25" s="4" t="s">
        <v>234</v>
      </c>
      <c r="F25" s="4" t="s">
        <v>225</v>
      </c>
      <c r="G25" s="11">
        <v>1.4E-2</v>
      </c>
      <c r="H25" s="11"/>
      <c r="I25" s="6">
        <v>1.0999999999999999E-2</v>
      </c>
      <c r="J25" s="6">
        <v>1.7000000000000001E-2</v>
      </c>
      <c r="K25" s="3" t="s">
        <v>9</v>
      </c>
      <c r="L25" s="5">
        <f t="shared" si="2"/>
        <v>1.0999999999999999E-2</v>
      </c>
      <c r="M25" s="5">
        <f t="shared" si="3"/>
        <v>1.7000000000000001E-2</v>
      </c>
      <c r="N25" s="4" t="s">
        <v>15</v>
      </c>
      <c r="O25" s="4" t="s">
        <v>235</v>
      </c>
      <c r="P25" s="6" t="s">
        <v>125</v>
      </c>
    </row>
    <row r="26" spans="1:16" ht="18" customHeight="1" x14ac:dyDescent="0.3">
      <c r="A26" s="2" t="s">
        <v>164</v>
      </c>
      <c r="B26" s="25" t="s">
        <v>407</v>
      </c>
      <c r="C26" s="25" t="s">
        <v>47</v>
      </c>
      <c r="D26" s="4" t="s">
        <v>236</v>
      </c>
      <c r="E26" s="4" t="s">
        <v>237</v>
      </c>
      <c r="F26" s="4" t="s">
        <v>225</v>
      </c>
      <c r="G26" s="11">
        <v>1.0999999999999999E-2</v>
      </c>
      <c r="H26" s="11"/>
      <c r="I26" s="6">
        <v>0</v>
      </c>
      <c r="J26" s="6">
        <v>0.02</v>
      </c>
      <c r="K26" s="3" t="s">
        <v>9</v>
      </c>
      <c r="L26" s="5">
        <f t="shared" si="2"/>
        <v>0</v>
      </c>
      <c r="M26" s="5">
        <f t="shared" si="3"/>
        <v>0.02</v>
      </c>
      <c r="N26" s="4" t="s">
        <v>15</v>
      </c>
      <c r="O26" s="4" t="s">
        <v>235</v>
      </c>
      <c r="P26" s="6" t="s">
        <v>125</v>
      </c>
    </row>
    <row r="27" spans="1:16" ht="18" customHeight="1" x14ac:dyDescent="0.3">
      <c r="A27" s="2" t="s">
        <v>164</v>
      </c>
      <c r="B27" s="25" t="s">
        <v>407</v>
      </c>
      <c r="C27" s="25" t="s">
        <v>47</v>
      </c>
      <c r="D27" s="4" t="s">
        <v>238</v>
      </c>
      <c r="E27" s="4" t="s">
        <v>239</v>
      </c>
      <c r="F27" s="4" t="s">
        <v>219</v>
      </c>
      <c r="G27" s="11"/>
      <c r="H27" s="11"/>
      <c r="I27" s="6"/>
      <c r="J27" s="6"/>
      <c r="K27" s="3" t="s">
        <v>12</v>
      </c>
      <c r="L27" s="5" t="str">
        <f t="shared" si="2"/>
        <v/>
      </c>
      <c r="M27" s="5" t="str">
        <f t="shared" si="3"/>
        <v/>
      </c>
      <c r="N27" s="4" t="s">
        <v>15</v>
      </c>
      <c r="O27" s="4" t="s">
        <v>240</v>
      </c>
      <c r="P27" s="6" t="s">
        <v>125</v>
      </c>
    </row>
    <row r="28" spans="1:16" ht="18" customHeight="1" x14ac:dyDescent="0.3">
      <c r="A28" s="2" t="s">
        <v>164</v>
      </c>
      <c r="B28" s="25" t="s">
        <v>407</v>
      </c>
      <c r="C28" s="25" t="s">
        <v>47</v>
      </c>
      <c r="D28" s="4" t="s">
        <v>241</v>
      </c>
      <c r="E28" s="4" t="s">
        <v>242</v>
      </c>
      <c r="F28" s="4" t="s">
        <v>219</v>
      </c>
      <c r="G28" s="11">
        <v>0.21</v>
      </c>
      <c r="H28" s="11"/>
      <c r="I28" s="6">
        <v>0</v>
      </c>
      <c r="J28" s="6">
        <v>0.31</v>
      </c>
      <c r="K28" s="3" t="s">
        <v>9</v>
      </c>
      <c r="L28" s="5">
        <f t="shared" si="2"/>
        <v>0</v>
      </c>
      <c r="M28" s="5">
        <f t="shared" si="3"/>
        <v>0.31</v>
      </c>
      <c r="N28" s="4" t="s">
        <v>15</v>
      </c>
      <c r="O28" s="4" t="s">
        <v>235</v>
      </c>
      <c r="P28" s="6" t="s">
        <v>125</v>
      </c>
    </row>
    <row r="29" spans="1:16" ht="18" customHeight="1" x14ac:dyDescent="0.3">
      <c r="A29" s="2" t="s">
        <v>164</v>
      </c>
      <c r="B29" s="25" t="s">
        <v>407</v>
      </c>
      <c r="C29" s="25" t="s">
        <v>47</v>
      </c>
      <c r="D29" s="4" t="s">
        <v>243</v>
      </c>
      <c r="E29" s="4" t="s">
        <v>244</v>
      </c>
      <c r="F29" s="4" t="s">
        <v>219</v>
      </c>
      <c r="G29" s="11">
        <v>0.24</v>
      </c>
      <c r="H29" s="11"/>
      <c r="I29" s="6">
        <v>0.01</v>
      </c>
      <c r="J29" s="6">
        <v>0.73</v>
      </c>
      <c r="K29" s="3" t="s">
        <v>9</v>
      </c>
      <c r="L29" s="5">
        <f t="shared" si="2"/>
        <v>0.01</v>
      </c>
      <c r="M29" s="5">
        <f t="shared" si="3"/>
        <v>0.73</v>
      </c>
      <c r="N29" s="4" t="s">
        <v>15</v>
      </c>
      <c r="O29" s="4" t="s">
        <v>235</v>
      </c>
      <c r="P29" s="6" t="s">
        <v>125</v>
      </c>
    </row>
    <row r="30" spans="1:16" ht="18" customHeight="1" x14ac:dyDescent="0.3">
      <c r="A30" s="2" t="s">
        <v>164</v>
      </c>
      <c r="B30" s="25" t="s">
        <v>407</v>
      </c>
      <c r="C30" s="25" t="s">
        <v>47</v>
      </c>
      <c r="D30" s="4" t="s">
        <v>245</v>
      </c>
      <c r="E30" s="4" t="s">
        <v>246</v>
      </c>
      <c r="F30" s="4" t="s">
        <v>183</v>
      </c>
      <c r="G30" s="2">
        <v>3.3</v>
      </c>
      <c r="H30" s="2">
        <v>10</v>
      </c>
      <c r="I30" s="6"/>
      <c r="J30" s="6"/>
      <c r="K30" s="3" t="s">
        <v>4</v>
      </c>
      <c r="L30" s="5">
        <f t="shared" si="2"/>
        <v>2.9699999999999998</v>
      </c>
      <c r="M30" s="5">
        <f t="shared" si="3"/>
        <v>3.63</v>
      </c>
      <c r="N30" s="4" t="s">
        <v>15</v>
      </c>
      <c r="O30" s="4" t="s">
        <v>247</v>
      </c>
      <c r="P30" s="6" t="s">
        <v>125</v>
      </c>
    </row>
    <row r="31" spans="1:16" ht="18" customHeight="1" x14ac:dyDescent="0.3">
      <c r="A31" s="2" t="s">
        <v>164</v>
      </c>
      <c r="B31" s="25" t="s">
        <v>407</v>
      </c>
      <c r="C31" s="25" t="s">
        <v>47</v>
      </c>
      <c r="D31" s="4" t="s">
        <v>248</v>
      </c>
      <c r="E31" s="4" t="s">
        <v>249</v>
      </c>
      <c r="F31" s="4" t="s">
        <v>250</v>
      </c>
      <c r="G31" s="11">
        <v>20</v>
      </c>
      <c r="H31" s="11">
        <v>0</v>
      </c>
      <c r="I31" s="6"/>
      <c r="J31" s="6"/>
      <c r="K31" s="3" t="s">
        <v>4</v>
      </c>
      <c r="L31" s="5">
        <v>15</v>
      </c>
      <c r="M31" s="5">
        <v>25</v>
      </c>
      <c r="N31" s="4" t="s">
        <v>15</v>
      </c>
      <c r="O31" s="4" t="s">
        <v>251</v>
      </c>
      <c r="P31" s="6" t="s">
        <v>125</v>
      </c>
    </row>
    <row r="32" spans="1:16" x14ac:dyDescent="0.3">
      <c r="A32" s="25" t="s">
        <v>164</v>
      </c>
      <c r="B32" s="25" t="s">
        <v>407</v>
      </c>
      <c r="C32" s="25" t="s">
        <v>51</v>
      </c>
      <c r="D32" s="4" t="s">
        <v>165</v>
      </c>
      <c r="E32" s="4" t="s">
        <v>166</v>
      </c>
      <c r="F32" s="4" t="s">
        <v>167</v>
      </c>
      <c r="G32" s="27">
        <v>551.13940000000002</v>
      </c>
      <c r="H32" s="27">
        <v>2.1</v>
      </c>
      <c r="I32" s="6"/>
      <c r="J32" s="6"/>
      <c r="K32" s="3" t="s">
        <v>4</v>
      </c>
      <c r="L32" s="5">
        <f t="shared" ref="L32:L62" si="4">IF(I32&lt;&gt;"",I32,IF(AND(G32&lt;&gt;"",H32&lt;&gt;""),G32*(1-H32/100),""))</f>
        <v>539.56547260000002</v>
      </c>
      <c r="M32" s="5">
        <f t="shared" ref="M32:M62" si="5">IF(J32&lt;&gt;"",J32,IF(AND(G32&lt;&gt;"",H32&lt;&gt;""),G32*(1+H32/100),""))</f>
        <v>562.71332740000003</v>
      </c>
    </row>
    <row r="33" spans="1:13" x14ac:dyDescent="0.3">
      <c r="A33" s="24" t="s">
        <v>164</v>
      </c>
      <c r="B33" s="24" t="s">
        <v>407</v>
      </c>
      <c r="C33" s="24" t="s">
        <v>51</v>
      </c>
      <c r="D33" s="4" t="s">
        <v>168</v>
      </c>
      <c r="E33" s="4" t="s">
        <v>169</v>
      </c>
      <c r="F33" s="4" t="s">
        <v>170</v>
      </c>
      <c r="G33" s="26">
        <v>650</v>
      </c>
      <c r="H33" s="26">
        <v>13</v>
      </c>
      <c r="I33" s="6"/>
      <c r="J33" s="6"/>
      <c r="K33" s="3" t="s">
        <v>4</v>
      </c>
      <c r="L33" s="5">
        <f t="shared" si="4"/>
        <v>565.5</v>
      </c>
      <c r="M33" s="5">
        <f t="shared" si="5"/>
        <v>734.49999999999989</v>
      </c>
    </row>
    <row r="34" spans="1:13" x14ac:dyDescent="0.3">
      <c r="A34" s="25" t="s">
        <v>164</v>
      </c>
      <c r="B34" s="25" t="s">
        <v>407</v>
      </c>
      <c r="C34" s="25" t="s">
        <v>51</v>
      </c>
      <c r="D34" s="4" t="s">
        <v>172</v>
      </c>
      <c r="E34" s="4" t="s">
        <v>173</v>
      </c>
      <c r="F34" s="4" t="s">
        <v>170</v>
      </c>
      <c r="G34" s="27">
        <v>650</v>
      </c>
      <c r="H34" s="27">
        <v>13</v>
      </c>
      <c r="I34" s="6"/>
      <c r="J34" s="6"/>
      <c r="K34" s="3" t="s">
        <v>4</v>
      </c>
      <c r="L34" s="5">
        <f t="shared" si="4"/>
        <v>565.5</v>
      </c>
      <c r="M34" s="5">
        <f t="shared" si="5"/>
        <v>734.49999999999989</v>
      </c>
    </row>
    <row r="35" spans="1:13" x14ac:dyDescent="0.3">
      <c r="A35" s="24" t="s">
        <v>164</v>
      </c>
      <c r="B35" s="24" t="s">
        <v>407</v>
      </c>
      <c r="C35" s="24" t="s">
        <v>51</v>
      </c>
      <c r="D35" s="4" t="s">
        <v>174</v>
      </c>
      <c r="E35" s="4" t="s">
        <v>175</v>
      </c>
      <c r="F35" s="4" t="s">
        <v>176</v>
      </c>
      <c r="G35" s="27">
        <v>0</v>
      </c>
      <c r="H35" s="25">
        <v>0</v>
      </c>
      <c r="I35" s="6"/>
      <c r="J35" s="6"/>
      <c r="K35" s="3" t="s">
        <v>9</v>
      </c>
      <c r="L35" s="5">
        <f t="shared" si="4"/>
        <v>0</v>
      </c>
      <c r="M35" s="5">
        <f t="shared" si="5"/>
        <v>0</v>
      </c>
    </row>
    <row r="36" spans="1:13" x14ac:dyDescent="0.3">
      <c r="A36" s="25" t="s">
        <v>164</v>
      </c>
      <c r="B36" s="25" t="s">
        <v>407</v>
      </c>
      <c r="C36" s="25" t="s">
        <v>51</v>
      </c>
      <c r="D36" s="4" t="s">
        <v>178</v>
      </c>
      <c r="E36" s="4" t="s">
        <v>179</v>
      </c>
      <c r="F36" s="4" t="s">
        <v>180</v>
      </c>
      <c r="G36" s="26">
        <v>0</v>
      </c>
      <c r="H36" s="26">
        <v>0</v>
      </c>
      <c r="I36" s="6"/>
      <c r="J36" s="6"/>
      <c r="K36" s="3" t="s">
        <v>4</v>
      </c>
      <c r="L36" s="5">
        <f t="shared" si="4"/>
        <v>0</v>
      </c>
      <c r="M36" s="5">
        <f t="shared" si="5"/>
        <v>0</v>
      </c>
    </row>
    <row r="37" spans="1:13" x14ac:dyDescent="0.3">
      <c r="A37" s="24" t="s">
        <v>164</v>
      </c>
      <c r="B37" s="24" t="s">
        <v>407</v>
      </c>
      <c r="C37" s="24" t="s">
        <v>51</v>
      </c>
      <c r="D37" s="4" t="s">
        <v>181</v>
      </c>
      <c r="E37" s="4" t="s">
        <v>182</v>
      </c>
      <c r="F37" s="4" t="s">
        <v>183</v>
      </c>
      <c r="G37" s="27">
        <v>0</v>
      </c>
      <c r="H37" s="27">
        <v>0</v>
      </c>
      <c r="I37" s="6"/>
      <c r="J37" s="6"/>
      <c r="K37" s="3" t="s">
        <v>4</v>
      </c>
      <c r="L37" s="5">
        <f t="shared" si="4"/>
        <v>0</v>
      </c>
      <c r="M37" s="5">
        <f t="shared" si="5"/>
        <v>0</v>
      </c>
    </row>
    <row r="38" spans="1:13" x14ac:dyDescent="0.3">
      <c r="A38" s="24" t="s">
        <v>164</v>
      </c>
      <c r="B38" s="24" t="s">
        <v>407</v>
      </c>
      <c r="C38" s="24" t="s">
        <v>51</v>
      </c>
      <c r="D38" s="4" t="s">
        <v>184</v>
      </c>
      <c r="E38" s="4" t="s">
        <v>185</v>
      </c>
      <c r="F38" s="4" t="s">
        <v>186</v>
      </c>
      <c r="G38" s="26">
        <v>0</v>
      </c>
      <c r="H38" s="26">
        <v>0</v>
      </c>
      <c r="I38" s="6"/>
      <c r="J38" s="6"/>
      <c r="K38" s="3" t="s">
        <v>10</v>
      </c>
      <c r="L38" s="5">
        <f t="shared" si="4"/>
        <v>0</v>
      </c>
      <c r="M38" s="5">
        <f t="shared" si="5"/>
        <v>0</v>
      </c>
    </row>
    <row r="39" spans="1:13" x14ac:dyDescent="0.3">
      <c r="A39" s="25" t="s">
        <v>164</v>
      </c>
      <c r="B39" s="25" t="s">
        <v>407</v>
      </c>
      <c r="C39" s="25" t="s">
        <v>51</v>
      </c>
      <c r="D39" s="4" t="s">
        <v>187</v>
      </c>
      <c r="E39" s="4" t="s">
        <v>188</v>
      </c>
      <c r="F39" s="4" t="s">
        <v>183</v>
      </c>
      <c r="G39" s="26">
        <v>66.260000000000005</v>
      </c>
      <c r="H39" s="24"/>
      <c r="I39" s="26">
        <v>55.260840000000002</v>
      </c>
      <c r="J39" s="26">
        <v>71.494540000000001</v>
      </c>
      <c r="K39" s="3" t="s">
        <v>8</v>
      </c>
      <c r="L39" s="5">
        <f t="shared" si="4"/>
        <v>55.260840000000002</v>
      </c>
      <c r="M39" s="5">
        <f t="shared" si="5"/>
        <v>71.494540000000001</v>
      </c>
    </row>
    <row r="40" spans="1:13" x14ac:dyDescent="0.3">
      <c r="A40" s="24" t="s">
        <v>164</v>
      </c>
      <c r="B40" s="24" t="s">
        <v>407</v>
      </c>
      <c r="C40" s="24" t="s">
        <v>51</v>
      </c>
      <c r="D40" s="4" t="s">
        <v>42</v>
      </c>
      <c r="E40" s="4" t="s">
        <v>190</v>
      </c>
      <c r="F40" s="4" t="s">
        <v>191</v>
      </c>
      <c r="G40" s="27">
        <v>0.37</v>
      </c>
      <c r="H40" s="27">
        <v>15</v>
      </c>
      <c r="I40" s="6"/>
      <c r="J40" s="6"/>
      <c r="K40" s="3" t="s">
        <v>7</v>
      </c>
      <c r="L40" s="5">
        <f t="shared" si="4"/>
        <v>0.3145</v>
      </c>
      <c r="M40" s="5">
        <f t="shared" si="5"/>
        <v>0.42549999999999999</v>
      </c>
    </row>
    <row r="41" spans="1:13" x14ac:dyDescent="0.3">
      <c r="A41" s="25" t="s">
        <v>164</v>
      </c>
      <c r="B41" s="25" t="s">
        <v>407</v>
      </c>
      <c r="C41" s="25" t="s">
        <v>51</v>
      </c>
      <c r="D41" s="4" t="s">
        <v>193</v>
      </c>
      <c r="E41" s="4" t="s">
        <v>194</v>
      </c>
      <c r="F41" s="4" t="s">
        <v>195</v>
      </c>
      <c r="G41" s="11">
        <v>0.17</v>
      </c>
      <c r="H41" s="11">
        <v>15</v>
      </c>
      <c r="I41" s="6"/>
      <c r="J41" s="6"/>
      <c r="K41" s="3" t="s">
        <v>7</v>
      </c>
      <c r="L41" s="5">
        <f t="shared" si="4"/>
        <v>0.14450000000000002</v>
      </c>
      <c r="M41" s="5">
        <f t="shared" si="5"/>
        <v>0.19550000000000001</v>
      </c>
    </row>
    <row r="42" spans="1:13" x14ac:dyDescent="0.3">
      <c r="A42" s="24" t="s">
        <v>164</v>
      </c>
      <c r="B42" s="24" t="s">
        <v>407</v>
      </c>
      <c r="C42" s="24" t="s">
        <v>51</v>
      </c>
      <c r="D42" s="4" t="s">
        <v>197</v>
      </c>
      <c r="E42" s="4" t="s">
        <v>198</v>
      </c>
      <c r="F42" s="4" t="s">
        <v>195</v>
      </c>
      <c r="G42" s="11">
        <v>1.2</v>
      </c>
      <c r="H42" s="11">
        <v>15</v>
      </c>
      <c r="I42" s="6"/>
      <c r="J42" s="6"/>
      <c r="K42" s="3" t="s">
        <v>9</v>
      </c>
      <c r="L42" s="5">
        <f t="shared" si="4"/>
        <v>1.02</v>
      </c>
      <c r="M42" s="5">
        <f t="shared" si="5"/>
        <v>1.38</v>
      </c>
    </row>
    <row r="43" spans="1:13" x14ac:dyDescent="0.3">
      <c r="A43" s="25" t="s">
        <v>164</v>
      </c>
      <c r="B43" s="25" t="s">
        <v>407</v>
      </c>
      <c r="C43" s="25" t="s">
        <v>51</v>
      </c>
      <c r="D43" s="4" t="s">
        <v>200</v>
      </c>
      <c r="E43" s="4" t="s">
        <v>201</v>
      </c>
      <c r="F43" s="4" t="s">
        <v>195</v>
      </c>
      <c r="G43" s="11">
        <v>0.1</v>
      </c>
      <c r="H43" s="11">
        <v>15</v>
      </c>
      <c r="I43" s="6"/>
      <c r="J43" s="6"/>
      <c r="K43" s="3" t="s">
        <v>7</v>
      </c>
      <c r="L43" s="5">
        <f t="shared" si="4"/>
        <v>8.5000000000000006E-2</v>
      </c>
      <c r="M43" s="5">
        <f t="shared" si="5"/>
        <v>0.11499999999999999</v>
      </c>
    </row>
    <row r="44" spans="1:13" x14ac:dyDescent="0.3">
      <c r="A44" s="24" t="s">
        <v>164</v>
      </c>
      <c r="B44" s="24" t="s">
        <v>407</v>
      </c>
      <c r="C44" s="24" t="s">
        <v>51</v>
      </c>
      <c r="D44" s="4" t="s">
        <v>203</v>
      </c>
      <c r="E44" s="4" t="s">
        <v>204</v>
      </c>
      <c r="F44" s="4" t="s">
        <v>205</v>
      </c>
      <c r="G44" s="2">
        <v>0</v>
      </c>
      <c r="H44" s="2">
        <v>0</v>
      </c>
      <c r="I44" s="6"/>
      <c r="J44" s="6"/>
      <c r="K44" s="3" t="s">
        <v>9</v>
      </c>
      <c r="L44" s="5">
        <f t="shared" si="4"/>
        <v>0</v>
      </c>
      <c r="M44" s="5">
        <f t="shared" si="5"/>
        <v>0</v>
      </c>
    </row>
    <row r="45" spans="1:13" x14ac:dyDescent="0.3">
      <c r="A45" s="24" t="s">
        <v>164</v>
      </c>
      <c r="B45" s="24" t="s">
        <v>407</v>
      </c>
      <c r="C45" s="24" t="s">
        <v>51</v>
      </c>
      <c r="D45" s="4" t="s">
        <v>207</v>
      </c>
      <c r="E45" s="4" t="s">
        <v>208</v>
      </c>
      <c r="F45" s="4" t="s">
        <v>183</v>
      </c>
      <c r="G45" s="27">
        <v>10.78</v>
      </c>
      <c r="H45" s="25"/>
      <c r="I45" s="27">
        <v>10.35</v>
      </c>
      <c r="J45" s="27">
        <v>14.259</v>
      </c>
      <c r="K45" s="3" t="s">
        <v>8</v>
      </c>
      <c r="L45" s="5">
        <f t="shared" si="4"/>
        <v>10.35</v>
      </c>
      <c r="M45" s="5">
        <f t="shared" si="5"/>
        <v>14.259</v>
      </c>
    </row>
    <row r="46" spans="1:13" x14ac:dyDescent="0.3">
      <c r="A46" s="24" t="s">
        <v>164</v>
      </c>
      <c r="B46" s="24" t="s">
        <v>407</v>
      </c>
      <c r="C46" s="24" t="s">
        <v>51</v>
      </c>
      <c r="D46" s="4" t="s">
        <v>210</v>
      </c>
      <c r="E46" s="4" t="s">
        <v>211</v>
      </c>
      <c r="F46" s="4" t="s">
        <v>183</v>
      </c>
      <c r="G46" s="26">
        <v>6.3</v>
      </c>
      <c r="H46" s="26">
        <v>20</v>
      </c>
      <c r="I46" s="6"/>
      <c r="J46" s="6"/>
      <c r="K46" s="3" t="s">
        <v>4</v>
      </c>
      <c r="L46" s="5">
        <f t="shared" si="4"/>
        <v>5.04</v>
      </c>
      <c r="M46" s="5">
        <f t="shared" si="5"/>
        <v>7.56</v>
      </c>
    </row>
    <row r="47" spans="1:13" x14ac:dyDescent="0.3">
      <c r="A47" s="24" t="s">
        <v>164</v>
      </c>
      <c r="B47" s="24" t="s">
        <v>407</v>
      </c>
      <c r="C47" s="24" t="s">
        <v>51</v>
      </c>
      <c r="D47" s="4" t="s">
        <v>213</v>
      </c>
      <c r="E47" s="4" t="s">
        <v>214</v>
      </c>
      <c r="F47" s="4" t="s">
        <v>215</v>
      </c>
      <c r="G47" s="11">
        <v>0.13</v>
      </c>
      <c r="H47" s="11">
        <v>15</v>
      </c>
      <c r="I47" s="6"/>
      <c r="J47" s="6"/>
      <c r="K47" s="3" t="s">
        <v>9</v>
      </c>
      <c r="L47" s="5">
        <f t="shared" si="4"/>
        <v>0.1105</v>
      </c>
      <c r="M47" s="5">
        <f t="shared" si="5"/>
        <v>0.14949999999999999</v>
      </c>
    </row>
    <row r="48" spans="1:13" x14ac:dyDescent="0.3">
      <c r="A48" s="24" t="s">
        <v>164</v>
      </c>
      <c r="B48" s="24" t="s">
        <v>407</v>
      </c>
      <c r="C48" s="24" t="s">
        <v>51</v>
      </c>
      <c r="D48" s="4" t="s">
        <v>217</v>
      </c>
      <c r="E48" s="4" t="s">
        <v>218</v>
      </c>
      <c r="F48" s="4" t="s">
        <v>219</v>
      </c>
      <c r="G48" s="11">
        <v>0.08</v>
      </c>
      <c r="H48" s="11">
        <v>10</v>
      </c>
      <c r="I48" s="6"/>
      <c r="J48" s="6"/>
      <c r="K48" s="3" t="s">
        <v>9</v>
      </c>
      <c r="L48" s="5">
        <f t="shared" si="4"/>
        <v>7.2000000000000008E-2</v>
      </c>
      <c r="M48" s="5">
        <f t="shared" si="5"/>
        <v>8.8000000000000009E-2</v>
      </c>
    </row>
    <row r="49" spans="1:13" x14ac:dyDescent="0.3">
      <c r="A49" s="24" t="s">
        <v>164</v>
      </c>
      <c r="B49" s="24" t="s">
        <v>407</v>
      </c>
      <c r="C49" s="24" t="s">
        <v>51</v>
      </c>
      <c r="D49" s="4" t="s">
        <v>221</v>
      </c>
      <c r="E49" s="4" t="s">
        <v>222</v>
      </c>
      <c r="F49" s="4" t="s">
        <v>219</v>
      </c>
      <c r="G49" s="11">
        <v>0.04</v>
      </c>
      <c r="H49" s="11">
        <v>10</v>
      </c>
      <c r="I49" s="6"/>
      <c r="J49" s="6"/>
      <c r="K49" s="3" t="s">
        <v>9</v>
      </c>
      <c r="L49" s="5">
        <f t="shared" si="4"/>
        <v>3.6000000000000004E-2</v>
      </c>
      <c r="M49" s="5">
        <f t="shared" si="5"/>
        <v>4.4000000000000004E-2</v>
      </c>
    </row>
    <row r="50" spans="1:13" x14ac:dyDescent="0.3">
      <c r="A50" s="24" t="s">
        <v>164</v>
      </c>
      <c r="B50" s="24" t="s">
        <v>407</v>
      </c>
      <c r="C50" s="24" t="s">
        <v>51</v>
      </c>
      <c r="D50" s="4" t="s">
        <v>223</v>
      </c>
      <c r="E50" s="4" t="s">
        <v>224</v>
      </c>
      <c r="F50" s="4" t="s">
        <v>225</v>
      </c>
      <c r="G50" s="11">
        <v>6.0000000000000001E-3</v>
      </c>
      <c r="H50" s="11"/>
      <c r="I50" s="6">
        <v>0</v>
      </c>
      <c r="J50" s="6">
        <v>2.7E-2</v>
      </c>
      <c r="K50" s="3" t="s">
        <v>9</v>
      </c>
      <c r="L50" s="5">
        <f t="shared" si="4"/>
        <v>0</v>
      </c>
      <c r="M50" s="5">
        <f t="shared" si="5"/>
        <v>2.7E-2</v>
      </c>
    </row>
    <row r="51" spans="1:13" x14ac:dyDescent="0.3">
      <c r="A51" s="24" t="s">
        <v>164</v>
      </c>
      <c r="B51" s="24" t="s">
        <v>407</v>
      </c>
      <c r="C51" s="24" t="s">
        <v>51</v>
      </c>
      <c r="D51" s="4" t="s">
        <v>227</v>
      </c>
      <c r="E51" s="4" t="s">
        <v>228</v>
      </c>
      <c r="F51" s="4" t="s">
        <v>225</v>
      </c>
      <c r="G51" s="11"/>
      <c r="H51" s="11"/>
      <c r="I51" s="6"/>
      <c r="J51" s="6"/>
      <c r="K51" s="3" t="s">
        <v>9</v>
      </c>
      <c r="L51" s="5" t="str">
        <f t="shared" si="4"/>
        <v/>
      </c>
      <c r="M51" s="5" t="str">
        <f t="shared" si="5"/>
        <v/>
      </c>
    </row>
    <row r="52" spans="1:13" x14ac:dyDescent="0.3">
      <c r="A52" s="24" t="s">
        <v>164</v>
      </c>
      <c r="B52" s="24" t="s">
        <v>407</v>
      </c>
      <c r="C52" s="24" t="s">
        <v>51</v>
      </c>
      <c r="D52" s="4" t="s">
        <v>230</v>
      </c>
      <c r="E52" s="4" t="s">
        <v>231</v>
      </c>
      <c r="F52" s="4" t="s">
        <v>219</v>
      </c>
      <c r="G52" s="11"/>
      <c r="H52" s="11"/>
      <c r="I52" s="6"/>
      <c r="J52" s="6"/>
      <c r="K52" s="3" t="s">
        <v>9</v>
      </c>
      <c r="L52" s="5" t="str">
        <f t="shared" si="4"/>
        <v/>
      </c>
      <c r="M52" s="5" t="str">
        <f t="shared" si="5"/>
        <v/>
      </c>
    </row>
    <row r="53" spans="1:13" x14ac:dyDescent="0.3">
      <c r="A53" s="24" t="s">
        <v>164</v>
      </c>
      <c r="B53" s="24" t="s">
        <v>407</v>
      </c>
      <c r="C53" s="24" t="s">
        <v>51</v>
      </c>
      <c r="D53" s="4" t="s">
        <v>233</v>
      </c>
      <c r="E53" s="4" t="s">
        <v>234</v>
      </c>
      <c r="F53" s="4" t="s">
        <v>225</v>
      </c>
      <c r="G53" s="11">
        <v>1.4E-2</v>
      </c>
      <c r="H53" s="11"/>
      <c r="I53" s="6">
        <v>1.0999999999999999E-2</v>
      </c>
      <c r="J53" s="6">
        <v>1.7000000000000001E-2</v>
      </c>
      <c r="K53" s="3" t="s">
        <v>9</v>
      </c>
      <c r="L53" s="5">
        <f t="shared" si="4"/>
        <v>1.0999999999999999E-2</v>
      </c>
      <c r="M53" s="5">
        <f t="shared" si="5"/>
        <v>1.7000000000000001E-2</v>
      </c>
    </row>
    <row r="54" spans="1:13" x14ac:dyDescent="0.3">
      <c r="A54" s="24" t="s">
        <v>164</v>
      </c>
      <c r="B54" s="24" t="s">
        <v>407</v>
      </c>
      <c r="C54" s="24" t="s">
        <v>51</v>
      </c>
      <c r="D54" s="4" t="s">
        <v>236</v>
      </c>
      <c r="E54" s="4" t="s">
        <v>237</v>
      </c>
      <c r="F54" s="4" t="s">
        <v>225</v>
      </c>
      <c r="G54" s="11">
        <v>1.0999999999999999E-2</v>
      </c>
      <c r="H54" s="11"/>
      <c r="I54" s="6">
        <v>0</v>
      </c>
      <c r="J54" s="6">
        <v>0.02</v>
      </c>
      <c r="K54" s="3" t="s">
        <v>9</v>
      </c>
      <c r="L54" s="5">
        <f t="shared" si="4"/>
        <v>0</v>
      </c>
      <c r="M54" s="5">
        <f t="shared" si="5"/>
        <v>0.02</v>
      </c>
    </row>
    <row r="55" spans="1:13" x14ac:dyDescent="0.3">
      <c r="A55" s="24" t="s">
        <v>164</v>
      </c>
      <c r="B55" s="24" t="s">
        <v>407</v>
      </c>
      <c r="C55" s="24" t="s">
        <v>51</v>
      </c>
      <c r="D55" s="4" t="s">
        <v>238</v>
      </c>
      <c r="E55" s="4" t="s">
        <v>239</v>
      </c>
      <c r="F55" s="4" t="s">
        <v>219</v>
      </c>
      <c r="G55" s="11"/>
      <c r="H55" s="11"/>
      <c r="I55" s="6"/>
      <c r="J55" s="6"/>
      <c r="K55" s="3" t="s">
        <v>12</v>
      </c>
      <c r="L55" s="5" t="str">
        <f t="shared" si="4"/>
        <v/>
      </c>
      <c r="M55" s="5" t="str">
        <f t="shared" si="5"/>
        <v/>
      </c>
    </row>
    <row r="56" spans="1:13" x14ac:dyDescent="0.3">
      <c r="A56" s="24" t="s">
        <v>164</v>
      </c>
      <c r="B56" s="24" t="s">
        <v>407</v>
      </c>
      <c r="C56" s="24" t="s">
        <v>51</v>
      </c>
      <c r="D56" s="4" t="s">
        <v>241</v>
      </c>
      <c r="E56" s="4" t="s">
        <v>242</v>
      </c>
      <c r="F56" s="4" t="s">
        <v>219</v>
      </c>
      <c r="G56" s="11">
        <v>0.21</v>
      </c>
      <c r="H56" s="11"/>
      <c r="I56" s="6">
        <v>0</v>
      </c>
      <c r="J56" s="6">
        <v>0.31</v>
      </c>
      <c r="K56" s="3" t="s">
        <v>9</v>
      </c>
      <c r="L56" s="5">
        <f t="shared" si="4"/>
        <v>0</v>
      </c>
      <c r="M56" s="5">
        <f t="shared" si="5"/>
        <v>0.31</v>
      </c>
    </row>
    <row r="57" spans="1:13" x14ac:dyDescent="0.3">
      <c r="A57" s="24" t="s">
        <v>164</v>
      </c>
      <c r="B57" s="24" t="s">
        <v>407</v>
      </c>
      <c r="C57" s="24" t="s">
        <v>51</v>
      </c>
      <c r="D57" s="4" t="s">
        <v>243</v>
      </c>
      <c r="E57" s="4" t="s">
        <v>244</v>
      </c>
      <c r="F57" s="4" t="s">
        <v>219</v>
      </c>
      <c r="G57" s="30">
        <v>0.24</v>
      </c>
      <c r="H57" s="30"/>
      <c r="I57" s="6">
        <v>0.01</v>
      </c>
      <c r="J57" s="6">
        <v>0.73</v>
      </c>
      <c r="K57" s="3" t="s">
        <v>9</v>
      </c>
      <c r="L57" s="5">
        <f t="shared" si="4"/>
        <v>0.01</v>
      </c>
      <c r="M57" s="5">
        <f t="shared" si="5"/>
        <v>0.73</v>
      </c>
    </row>
    <row r="58" spans="1:13" x14ac:dyDescent="0.3">
      <c r="A58" s="24" t="s">
        <v>164</v>
      </c>
      <c r="B58" s="24" t="s">
        <v>407</v>
      </c>
      <c r="C58" s="24" t="s">
        <v>51</v>
      </c>
      <c r="D58" s="4" t="s">
        <v>245</v>
      </c>
      <c r="E58" s="4" t="s">
        <v>246</v>
      </c>
      <c r="F58" s="4" t="s">
        <v>183</v>
      </c>
      <c r="G58" s="31">
        <v>0</v>
      </c>
      <c r="H58" s="31">
        <v>0</v>
      </c>
      <c r="I58" s="6"/>
      <c r="J58" s="6"/>
      <c r="K58" s="3" t="s">
        <v>4</v>
      </c>
      <c r="L58" s="5">
        <f t="shared" si="4"/>
        <v>0</v>
      </c>
      <c r="M58" s="5">
        <f t="shared" si="5"/>
        <v>0</v>
      </c>
    </row>
    <row r="59" spans="1:13" x14ac:dyDescent="0.3">
      <c r="A59" s="24" t="s">
        <v>164</v>
      </c>
      <c r="B59" s="24" t="s">
        <v>407</v>
      </c>
      <c r="C59" s="24" t="s">
        <v>51</v>
      </c>
      <c r="D59" s="4" t="s">
        <v>248</v>
      </c>
      <c r="E59" s="4" t="s">
        <v>249</v>
      </c>
      <c r="F59" s="4" t="s">
        <v>250</v>
      </c>
      <c r="G59" s="30">
        <v>20</v>
      </c>
      <c r="H59" s="30">
        <v>0</v>
      </c>
      <c r="I59" s="6"/>
      <c r="J59" s="6"/>
      <c r="K59" s="3" t="s">
        <v>4</v>
      </c>
      <c r="L59" s="5">
        <f t="shared" si="4"/>
        <v>20</v>
      </c>
      <c r="M59" s="5">
        <f t="shared" si="5"/>
        <v>20</v>
      </c>
    </row>
    <row r="60" spans="1:13" x14ac:dyDescent="0.3">
      <c r="A60" s="24" t="s">
        <v>164</v>
      </c>
      <c r="B60" s="24" t="s">
        <v>407</v>
      </c>
      <c r="C60" s="24" t="s">
        <v>54</v>
      </c>
      <c r="D60" s="4" t="s">
        <v>165</v>
      </c>
      <c r="E60" s="4" t="s">
        <v>166</v>
      </c>
      <c r="F60" s="4" t="s">
        <v>167</v>
      </c>
      <c r="G60" s="28">
        <v>12660.834500000001</v>
      </c>
      <c r="H60" s="28">
        <v>2.1</v>
      </c>
      <c r="I60" s="6"/>
      <c r="J60" s="6"/>
      <c r="K60" s="3" t="s">
        <v>4</v>
      </c>
      <c r="L60" s="5">
        <f t="shared" si="4"/>
        <v>12394.956975500001</v>
      </c>
      <c r="M60" s="5">
        <f t="shared" si="5"/>
        <v>12926.712024500001</v>
      </c>
    </row>
    <row r="61" spans="1:13" x14ac:dyDescent="0.3">
      <c r="A61" s="25" t="s">
        <v>164</v>
      </c>
      <c r="B61" s="25" t="s">
        <v>407</v>
      </c>
      <c r="C61" s="25" t="s">
        <v>54</v>
      </c>
      <c r="D61" s="4" t="s">
        <v>168</v>
      </c>
      <c r="E61" s="4" t="s">
        <v>169</v>
      </c>
      <c r="F61" s="4" t="s">
        <v>170</v>
      </c>
      <c r="G61" s="29">
        <v>404</v>
      </c>
      <c r="H61" s="29">
        <v>8</v>
      </c>
      <c r="I61" s="6"/>
      <c r="J61" s="6"/>
      <c r="K61" s="3" t="s">
        <v>4</v>
      </c>
      <c r="L61" s="5">
        <f t="shared" si="4"/>
        <v>371.68</v>
      </c>
      <c r="M61" s="5">
        <f t="shared" si="5"/>
        <v>436.32000000000005</v>
      </c>
    </row>
    <row r="62" spans="1:13" x14ac:dyDescent="0.3">
      <c r="A62" s="24" t="s">
        <v>164</v>
      </c>
      <c r="B62" s="24" t="s">
        <v>407</v>
      </c>
      <c r="C62" s="24" t="s">
        <v>54</v>
      </c>
      <c r="D62" s="4" t="s">
        <v>172</v>
      </c>
      <c r="E62" s="4" t="s">
        <v>173</v>
      </c>
      <c r="F62" s="4" t="s">
        <v>170</v>
      </c>
      <c r="G62" s="28">
        <v>539</v>
      </c>
      <c r="H62" s="28">
        <v>8</v>
      </c>
      <c r="I62" s="6"/>
      <c r="J62" s="6"/>
      <c r="K62" s="3" t="s">
        <v>4</v>
      </c>
      <c r="L62" s="5">
        <f t="shared" si="4"/>
        <v>495.88</v>
      </c>
      <c r="M62" s="5">
        <f t="shared" si="5"/>
        <v>582.12</v>
      </c>
    </row>
    <row r="63" spans="1:13" x14ac:dyDescent="0.3">
      <c r="A63" s="25" t="s">
        <v>164</v>
      </c>
      <c r="B63" s="25" t="s">
        <v>407</v>
      </c>
      <c r="C63" s="25" t="s">
        <v>54</v>
      </c>
      <c r="D63" s="4" t="s">
        <v>174</v>
      </c>
      <c r="E63" s="4" t="s">
        <v>175</v>
      </c>
      <c r="F63" s="4" t="s">
        <v>176</v>
      </c>
      <c r="G63" s="29">
        <v>0.375309</v>
      </c>
      <c r="H63" s="29"/>
      <c r="I63" s="27">
        <v>0.315</v>
      </c>
      <c r="J63" s="27">
        <v>0.75670000000000004</v>
      </c>
      <c r="K63" s="25" t="s">
        <v>8</v>
      </c>
      <c r="L63" s="5">
        <f t="shared" ref="L63:L94" si="6">IF(I63&lt;&gt;"",I63,IF(AND(G63&lt;&gt;"",H63&lt;&gt;""),G63*(1-H63/100),""))</f>
        <v>0.315</v>
      </c>
      <c r="M63" s="5">
        <f t="shared" ref="M63:M94" si="7">IF(J63&lt;&gt;"",J63,IF(AND(G63&lt;&gt;"",H63&lt;&gt;""),G63*(1+H63/100),""))</f>
        <v>0.75670000000000004</v>
      </c>
    </row>
    <row r="64" spans="1:13" x14ac:dyDescent="0.3">
      <c r="A64" s="24" t="s">
        <v>164</v>
      </c>
      <c r="B64" s="24" t="s">
        <v>407</v>
      </c>
      <c r="C64" s="24" t="s">
        <v>54</v>
      </c>
      <c r="D64" s="4" t="s">
        <v>178</v>
      </c>
      <c r="E64" s="4" t="s">
        <v>179</v>
      </c>
      <c r="F64" s="4" t="s">
        <v>180</v>
      </c>
      <c r="G64" s="31">
        <v>0</v>
      </c>
      <c r="H64" s="31">
        <v>0</v>
      </c>
      <c r="I64" s="6"/>
      <c r="J64" s="6"/>
      <c r="K64" s="3" t="s">
        <v>4</v>
      </c>
      <c r="L64" s="5">
        <f t="shared" si="6"/>
        <v>0</v>
      </c>
      <c r="M64" s="5">
        <f t="shared" si="7"/>
        <v>0</v>
      </c>
    </row>
    <row r="65" spans="1:13" x14ac:dyDescent="0.3">
      <c r="A65" s="25" t="s">
        <v>164</v>
      </c>
      <c r="B65" s="25" t="s">
        <v>407</v>
      </c>
      <c r="C65" s="25" t="s">
        <v>54</v>
      </c>
      <c r="D65" s="4" t="s">
        <v>181</v>
      </c>
      <c r="E65" s="4" t="s">
        <v>182</v>
      </c>
      <c r="F65" s="4" t="s">
        <v>183</v>
      </c>
      <c r="G65" s="31">
        <v>0</v>
      </c>
      <c r="H65" s="31">
        <v>0</v>
      </c>
      <c r="I65" s="6"/>
      <c r="J65" s="6"/>
      <c r="K65" s="3" t="s">
        <v>4</v>
      </c>
      <c r="L65" s="5">
        <f t="shared" si="6"/>
        <v>0</v>
      </c>
      <c r="M65" s="5">
        <f t="shared" si="7"/>
        <v>0</v>
      </c>
    </row>
    <row r="66" spans="1:13" x14ac:dyDescent="0.3">
      <c r="A66" s="25" t="s">
        <v>164</v>
      </c>
      <c r="B66" s="25" t="s">
        <v>407</v>
      </c>
      <c r="C66" s="25" t="s">
        <v>54</v>
      </c>
      <c r="D66" s="4" t="s">
        <v>184</v>
      </c>
      <c r="E66" s="4" t="s">
        <v>185</v>
      </c>
      <c r="F66" s="4" t="s">
        <v>186</v>
      </c>
      <c r="G66" s="28">
        <v>0.36191899999999999</v>
      </c>
      <c r="H66" s="28">
        <v>4.5</v>
      </c>
      <c r="I66" s="6"/>
      <c r="J66" s="6"/>
      <c r="K66" s="3" t="s">
        <v>7</v>
      </c>
      <c r="L66" s="5">
        <f t="shared" si="6"/>
        <v>0.34563264499999996</v>
      </c>
      <c r="M66" s="5">
        <f t="shared" si="7"/>
        <v>0.37820535499999997</v>
      </c>
    </row>
    <row r="67" spans="1:13" x14ac:dyDescent="0.3">
      <c r="A67" s="24" t="s">
        <v>164</v>
      </c>
      <c r="B67" s="24" t="s">
        <v>407</v>
      </c>
      <c r="C67" s="24" t="s">
        <v>54</v>
      </c>
      <c r="D67" s="4" t="s">
        <v>187</v>
      </c>
      <c r="E67" s="4" t="s">
        <v>188</v>
      </c>
      <c r="F67" s="4" t="s">
        <v>183</v>
      </c>
      <c r="G67" s="29">
        <v>66.260000000000005</v>
      </c>
      <c r="H67" s="29"/>
      <c r="I67" s="27">
        <v>55.260840000000002</v>
      </c>
      <c r="J67" s="27">
        <v>71.494540000000001</v>
      </c>
      <c r="K67" s="25" t="s">
        <v>8</v>
      </c>
      <c r="L67" s="5">
        <f t="shared" si="6"/>
        <v>55.260840000000002</v>
      </c>
      <c r="M67" s="5">
        <f t="shared" si="7"/>
        <v>71.494540000000001</v>
      </c>
    </row>
    <row r="68" spans="1:13" x14ac:dyDescent="0.3">
      <c r="A68" s="25" t="s">
        <v>164</v>
      </c>
      <c r="B68" s="25" t="s">
        <v>407</v>
      </c>
      <c r="C68" s="25" t="s">
        <v>54</v>
      </c>
      <c r="D68" s="4" t="s">
        <v>42</v>
      </c>
      <c r="E68" s="4" t="s">
        <v>190</v>
      </c>
      <c r="F68" s="4" t="s">
        <v>191</v>
      </c>
      <c r="G68" s="31">
        <v>0.32200000000000001</v>
      </c>
      <c r="H68" s="31">
        <v>15</v>
      </c>
      <c r="I68" s="6"/>
      <c r="J68" s="6"/>
      <c r="K68" s="3" t="s">
        <v>7</v>
      </c>
      <c r="L68" s="5">
        <f t="shared" si="6"/>
        <v>0.2737</v>
      </c>
      <c r="M68" s="5">
        <f t="shared" si="7"/>
        <v>0.37029999999999996</v>
      </c>
    </row>
    <row r="69" spans="1:13" x14ac:dyDescent="0.3">
      <c r="A69" s="24" t="s">
        <v>164</v>
      </c>
      <c r="B69" s="24" t="s">
        <v>407</v>
      </c>
      <c r="C69" s="24" t="s">
        <v>54</v>
      </c>
      <c r="D69" s="4" t="s">
        <v>193</v>
      </c>
      <c r="E69" s="4" t="s">
        <v>194</v>
      </c>
      <c r="F69" s="4" t="s">
        <v>195</v>
      </c>
      <c r="G69" s="31">
        <v>0.17</v>
      </c>
      <c r="H69" s="31">
        <v>15</v>
      </c>
      <c r="I69" s="6"/>
      <c r="J69" s="6"/>
      <c r="K69" s="3" t="s">
        <v>7</v>
      </c>
      <c r="L69" s="5">
        <f t="shared" si="6"/>
        <v>0.14450000000000002</v>
      </c>
      <c r="M69" s="5">
        <f t="shared" si="7"/>
        <v>0.19550000000000001</v>
      </c>
    </row>
    <row r="70" spans="1:13" x14ac:dyDescent="0.3">
      <c r="A70" s="25" t="s">
        <v>164</v>
      </c>
      <c r="B70" s="25" t="s">
        <v>407</v>
      </c>
      <c r="C70" s="25" t="s">
        <v>54</v>
      </c>
      <c r="D70" s="4" t="s">
        <v>197</v>
      </c>
      <c r="E70" s="4" t="s">
        <v>198</v>
      </c>
      <c r="F70" s="4" t="s">
        <v>195</v>
      </c>
      <c r="G70" s="31">
        <v>0.8</v>
      </c>
      <c r="H70" s="31">
        <v>15</v>
      </c>
      <c r="I70" s="6"/>
      <c r="J70" s="6"/>
      <c r="K70" s="3" t="s">
        <v>9</v>
      </c>
      <c r="L70" s="5">
        <f t="shared" si="6"/>
        <v>0.68</v>
      </c>
      <c r="M70" s="5">
        <f t="shared" si="7"/>
        <v>0.91999999999999993</v>
      </c>
    </row>
    <row r="71" spans="1:13" x14ac:dyDescent="0.3">
      <c r="A71" s="24" t="s">
        <v>164</v>
      </c>
      <c r="B71" s="24" t="s">
        <v>407</v>
      </c>
      <c r="C71" s="24" t="s">
        <v>54</v>
      </c>
      <c r="D71" s="4" t="s">
        <v>200</v>
      </c>
      <c r="E71" s="4" t="s">
        <v>201</v>
      </c>
      <c r="F71" s="4" t="s">
        <v>195</v>
      </c>
      <c r="G71" s="31">
        <v>0.1</v>
      </c>
      <c r="H71" s="31">
        <v>15</v>
      </c>
      <c r="I71" s="6"/>
      <c r="J71" s="6"/>
      <c r="K71" s="3" t="s">
        <v>7</v>
      </c>
      <c r="L71" s="5">
        <f t="shared" si="6"/>
        <v>8.5000000000000006E-2</v>
      </c>
      <c r="M71" s="5">
        <f t="shared" si="7"/>
        <v>0.11499999999999999</v>
      </c>
    </row>
    <row r="72" spans="1:13" x14ac:dyDescent="0.3">
      <c r="A72" s="25" t="s">
        <v>164</v>
      </c>
      <c r="B72" s="25" t="s">
        <v>407</v>
      </c>
      <c r="C72" s="25" t="s">
        <v>54</v>
      </c>
      <c r="D72" s="4" t="s">
        <v>203</v>
      </c>
      <c r="E72" s="4" t="s">
        <v>204</v>
      </c>
      <c r="F72" s="4" t="s">
        <v>205</v>
      </c>
      <c r="G72" s="31">
        <v>0</v>
      </c>
      <c r="H72" s="31">
        <v>0</v>
      </c>
      <c r="I72" s="6"/>
      <c r="J72" s="6"/>
      <c r="K72" s="3" t="s">
        <v>9</v>
      </c>
      <c r="L72" s="5">
        <f t="shared" si="6"/>
        <v>0</v>
      </c>
      <c r="M72" s="5">
        <f t="shared" si="7"/>
        <v>0</v>
      </c>
    </row>
    <row r="73" spans="1:13" x14ac:dyDescent="0.3">
      <c r="A73" s="25" t="s">
        <v>164</v>
      </c>
      <c r="B73" s="25" t="s">
        <v>407</v>
      </c>
      <c r="C73" s="25" t="s">
        <v>54</v>
      </c>
      <c r="D73" s="4" t="s">
        <v>207</v>
      </c>
      <c r="E73" s="4" t="s">
        <v>208</v>
      </c>
      <c r="F73" s="4" t="s">
        <v>183</v>
      </c>
      <c r="G73" s="28">
        <v>10.78</v>
      </c>
      <c r="H73" s="28"/>
      <c r="I73" s="26">
        <v>10.45</v>
      </c>
      <c r="J73" s="26">
        <v>14.259</v>
      </c>
      <c r="K73" s="24" t="s">
        <v>8</v>
      </c>
      <c r="L73" s="5">
        <f t="shared" si="6"/>
        <v>10.45</v>
      </c>
      <c r="M73" s="5">
        <f t="shared" si="7"/>
        <v>14.259</v>
      </c>
    </row>
    <row r="74" spans="1:13" x14ac:dyDescent="0.3">
      <c r="A74" s="25" t="s">
        <v>164</v>
      </c>
      <c r="B74" s="25" t="s">
        <v>407</v>
      </c>
      <c r="C74" s="25" t="s">
        <v>54</v>
      </c>
      <c r="D74" s="4" t="s">
        <v>210</v>
      </c>
      <c r="E74" s="4" t="s">
        <v>211</v>
      </c>
      <c r="F74" s="4" t="s">
        <v>183</v>
      </c>
      <c r="G74" s="28">
        <v>6.3</v>
      </c>
      <c r="H74" s="28">
        <v>20</v>
      </c>
      <c r="I74" s="6"/>
      <c r="J74" s="6"/>
      <c r="K74" s="3" t="s">
        <v>4</v>
      </c>
      <c r="L74" s="5">
        <f t="shared" si="6"/>
        <v>5.04</v>
      </c>
      <c r="M74" s="5">
        <f t="shared" si="7"/>
        <v>7.56</v>
      </c>
    </row>
    <row r="75" spans="1:13" x14ac:dyDescent="0.3">
      <c r="A75" s="25" t="s">
        <v>164</v>
      </c>
      <c r="B75" s="25" t="s">
        <v>407</v>
      </c>
      <c r="C75" s="25" t="s">
        <v>54</v>
      </c>
      <c r="D75" s="4" t="s">
        <v>213</v>
      </c>
      <c r="E75" s="4" t="s">
        <v>214</v>
      </c>
      <c r="F75" s="4" t="s">
        <v>215</v>
      </c>
      <c r="G75" s="30">
        <v>0.13</v>
      </c>
      <c r="H75" s="30">
        <v>15</v>
      </c>
      <c r="I75" s="6"/>
      <c r="J75" s="6"/>
      <c r="K75" s="3" t="s">
        <v>9</v>
      </c>
      <c r="L75" s="5">
        <f t="shared" si="6"/>
        <v>0.1105</v>
      </c>
      <c r="M75" s="5">
        <f t="shared" si="7"/>
        <v>0.14949999999999999</v>
      </c>
    </row>
    <row r="76" spans="1:13" x14ac:dyDescent="0.3">
      <c r="A76" s="25" t="s">
        <v>164</v>
      </c>
      <c r="B76" s="25" t="s">
        <v>407</v>
      </c>
      <c r="C76" s="25" t="s">
        <v>54</v>
      </c>
      <c r="D76" s="4" t="s">
        <v>217</v>
      </c>
      <c r="E76" s="4" t="s">
        <v>218</v>
      </c>
      <c r="F76" s="4" t="s">
        <v>219</v>
      </c>
      <c r="G76" s="30">
        <v>0.08</v>
      </c>
      <c r="H76" s="30">
        <v>10</v>
      </c>
      <c r="I76" s="6"/>
      <c r="J76" s="6"/>
      <c r="K76" s="3" t="s">
        <v>9</v>
      </c>
      <c r="L76" s="5">
        <f t="shared" si="6"/>
        <v>7.2000000000000008E-2</v>
      </c>
      <c r="M76" s="5">
        <f t="shared" si="7"/>
        <v>8.8000000000000009E-2</v>
      </c>
    </row>
    <row r="77" spans="1:13" x14ac:dyDescent="0.3">
      <c r="A77" s="25" t="s">
        <v>164</v>
      </c>
      <c r="B77" s="25" t="s">
        <v>407</v>
      </c>
      <c r="C77" s="25" t="s">
        <v>54</v>
      </c>
      <c r="D77" s="4" t="s">
        <v>221</v>
      </c>
      <c r="E77" s="4" t="s">
        <v>222</v>
      </c>
      <c r="F77" s="4" t="s">
        <v>219</v>
      </c>
      <c r="G77" s="30">
        <v>0.04</v>
      </c>
      <c r="H77" s="30">
        <v>10</v>
      </c>
      <c r="I77" s="6"/>
      <c r="J77" s="6"/>
      <c r="K77" s="3" t="s">
        <v>9</v>
      </c>
      <c r="L77" s="5">
        <f t="shared" si="6"/>
        <v>3.6000000000000004E-2</v>
      </c>
      <c r="M77" s="5">
        <f t="shared" si="7"/>
        <v>4.4000000000000004E-2</v>
      </c>
    </row>
    <row r="78" spans="1:13" x14ac:dyDescent="0.3">
      <c r="A78" s="25" t="s">
        <v>164</v>
      </c>
      <c r="B78" s="25" t="s">
        <v>407</v>
      </c>
      <c r="C78" s="25" t="s">
        <v>54</v>
      </c>
      <c r="D78" s="4" t="s">
        <v>223</v>
      </c>
      <c r="E78" s="4" t="s">
        <v>224</v>
      </c>
      <c r="F78" s="4" t="s">
        <v>225</v>
      </c>
      <c r="G78" s="30">
        <v>6.0000000000000001E-3</v>
      </c>
      <c r="H78" s="30"/>
      <c r="I78" s="6">
        <v>0</v>
      </c>
      <c r="J78" s="6">
        <v>2.7E-2</v>
      </c>
      <c r="K78" s="3" t="s">
        <v>9</v>
      </c>
      <c r="L78" s="5">
        <f t="shared" si="6"/>
        <v>0</v>
      </c>
      <c r="M78" s="5">
        <f t="shared" si="7"/>
        <v>2.7E-2</v>
      </c>
    </row>
    <row r="79" spans="1:13" x14ac:dyDescent="0.3">
      <c r="A79" s="25" t="s">
        <v>164</v>
      </c>
      <c r="B79" s="25" t="s">
        <v>407</v>
      </c>
      <c r="C79" s="25" t="s">
        <v>54</v>
      </c>
      <c r="D79" s="4" t="s">
        <v>227</v>
      </c>
      <c r="E79" s="4" t="s">
        <v>228</v>
      </c>
      <c r="F79" s="4" t="s">
        <v>225</v>
      </c>
      <c r="G79" s="31"/>
      <c r="H79" s="31"/>
      <c r="I79" s="6"/>
      <c r="J79" s="6"/>
      <c r="K79" s="3" t="s">
        <v>9</v>
      </c>
      <c r="L79" s="5" t="str">
        <f t="shared" si="6"/>
        <v/>
      </c>
      <c r="M79" s="5" t="str">
        <f t="shared" si="7"/>
        <v/>
      </c>
    </row>
    <row r="80" spans="1:13" x14ac:dyDescent="0.3">
      <c r="A80" s="25" t="s">
        <v>164</v>
      </c>
      <c r="B80" s="25" t="s">
        <v>407</v>
      </c>
      <c r="C80" s="25" t="s">
        <v>54</v>
      </c>
      <c r="D80" s="4" t="s">
        <v>230</v>
      </c>
      <c r="E80" s="4" t="s">
        <v>231</v>
      </c>
      <c r="F80" s="4" t="s">
        <v>219</v>
      </c>
      <c r="G80" s="31"/>
      <c r="H80" s="31"/>
      <c r="I80" s="6"/>
      <c r="J80" s="6"/>
      <c r="K80" s="3" t="s">
        <v>9</v>
      </c>
      <c r="L80" s="5" t="str">
        <f t="shared" si="6"/>
        <v/>
      </c>
      <c r="M80" s="5" t="str">
        <f t="shared" si="7"/>
        <v/>
      </c>
    </row>
    <row r="81" spans="1:13" x14ac:dyDescent="0.3">
      <c r="A81" s="25" t="s">
        <v>164</v>
      </c>
      <c r="B81" s="25" t="s">
        <v>407</v>
      </c>
      <c r="C81" s="25" t="s">
        <v>54</v>
      </c>
      <c r="D81" s="4" t="s">
        <v>233</v>
      </c>
      <c r="E81" s="4" t="s">
        <v>234</v>
      </c>
      <c r="F81" s="4" t="s">
        <v>225</v>
      </c>
      <c r="G81" s="30">
        <v>1.4E-2</v>
      </c>
      <c r="H81" s="30"/>
      <c r="I81" s="6">
        <v>1.0999999999999999E-2</v>
      </c>
      <c r="J81" s="6">
        <v>1.7000000000000001E-2</v>
      </c>
      <c r="K81" s="3" t="s">
        <v>9</v>
      </c>
      <c r="L81" s="5">
        <f t="shared" si="6"/>
        <v>1.0999999999999999E-2</v>
      </c>
      <c r="M81" s="5">
        <f t="shared" si="7"/>
        <v>1.7000000000000001E-2</v>
      </c>
    </row>
    <row r="82" spans="1:13" x14ac:dyDescent="0.3">
      <c r="A82" s="25" t="s">
        <v>164</v>
      </c>
      <c r="B82" s="25" t="s">
        <v>407</v>
      </c>
      <c r="C82" s="25" t="s">
        <v>54</v>
      </c>
      <c r="D82" s="4" t="s">
        <v>236</v>
      </c>
      <c r="E82" s="4" t="s">
        <v>237</v>
      </c>
      <c r="F82" s="4" t="s">
        <v>225</v>
      </c>
      <c r="G82" s="30">
        <v>1.0999999999999999E-2</v>
      </c>
      <c r="H82" s="30"/>
      <c r="I82" s="6">
        <v>0</v>
      </c>
      <c r="J82" s="6">
        <v>0.02</v>
      </c>
      <c r="K82" s="3" t="s">
        <v>9</v>
      </c>
      <c r="L82" s="5">
        <f t="shared" si="6"/>
        <v>0</v>
      </c>
      <c r="M82" s="5">
        <f t="shared" si="7"/>
        <v>0.02</v>
      </c>
    </row>
    <row r="83" spans="1:13" x14ac:dyDescent="0.3">
      <c r="A83" s="25" t="s">
        <v>164</v>
      </c>
      <c r="B83" s="25" t="s">
        <v>407</v>
      </c>
      <c r="C83" s="25" t="s">
        <v>54</v>
      </c>
      <c r="D83" s="4" t="s">
        <v>238</v>
      </c>
      <c r="E83" s="4" t="s">
        <v>239</v>
      </c>
      <c r="F83" s="4" t="s">
        <v>219</v>
      </c>
      <c r="G83" s="31"/>
      <c r="H83" s="31"/>
      <c r="I83" s="6"/>
      <c r="J83" s="6"/>
      <c r="K83" s="3" t="s">
        <v>12</v>
      </c>
      <c r="L83" s="5" t="str">
        <f t="shared" si="6"/>
        <v/>
      </c>
      <c r="M83" s="5" t="str">
        <f t="shared" si="7"/>
        <v/>
      </c>
    </row>
    <row r="84" spans="1:13" x14ac:dyDescent="0.3">
      <c r="A84" s="25" t="s">
        <v>164</v>
      </c>
      <c r="B84" s="25" t="s">
        <v>407</v>
      </c>
      <c r="C84" s="25" t="s">
        <v>54</v>
      </c>
      <c r="D84" s="4" t="s">
        <v>241</v>
      </c>
      <c r="E84" s="4" t="s">
        <v>242</v>
      </c>
      <c r="F84" s="4" t="s">
        <v>219</v>
      </c>
      <c r="G84" s="30">
        <v>0.21</v>
      </c>
      <c r="H84" s="30"/>
      <c r="I84" s="6">
        <v>0</v>
      </c>
      <c r="J84" s="6">
        <v>0.31</v>
      </c>
      <c r="K84" s="3" t="s">
        <v>9</v>
      </c>
      <c r="L84" s="5">
        <f t="shared" si="6"/>
        <v>0</v>
      </c>
      <c r="M84" s="5">
        <f t="shared" si="7"/>
        <v>0.31</v>
      </c>
    </row>
    <row r="85" spans="1:13" x14ac:dyDescent="0.3">
      <c r="A85" s="25" t="s">
        <v>164</v>
      </c>
      <c r="B85" s="25" t="s">
        <v>407</v>
      </c>
      <c r="C85" s="25" t="s">
        <v>54</v>
      </c>
      <c r="D85" s="4" t="s">
        <v>243</v>
      </c>
      <c r="E85" s="4" t="s">
        <v>244</v>
      </c>
      <c r="F85" s="4" t="s">
        <v>219</v>
      </c>
      <c r="G85" s="30">
        <v>0.24</v>
      </c>
      <c r="H85" s="30"/>
      <c r="I85" s="6">
        <v>0.01</v>
      </c>
      <c r="J85" s="6">
        <v>0.73</v>
      </c>
      <c r="K85" s="3" t="s">
        <v>9</v>
      </c>
      <c r="L85" s="5">
        <f t="shared" si="6"/>
        <v>0.01</v>
      </c>
      <c r="M85" s="5">
        <f t="shared" si="7"/>
        <v>0.73</v>
      </c>
    </row>
    <row r="86" spans="1:13" x14ac:dyDescent="0.3">
      <c r="A86" s="25" t="s">
        <v>164</v>
      </c>
      <c r="B86" s="25" t="s">
        <v>407</v>
      </c>
      <c r="C86" s="25" t="s">
        <v>54</v>
      </c>
      <c r="D86" s="4" t="s">
        <v>245</v>
      </c>
      <c r="E86" s="4" t="s">
        <v>246</v>
      </c>
      <c r="F86" s="4" t="s">
        <v>183</v>
      </c>
      <c r="G86" s="31">
        <v>0</v>
      </c>
      <c r="H86" s="31">
        <v>0</v>
      </c>
      <c r="I86" s="6"/>
      <c r="J86" s="6"/>
      <c r="K86" s="3" t="s">
        <v>4</v>
      </c>
      <c r="L86" s="5">
        <f t="shared" si="6"/>
        <v>0</v>
      </c>
      <c r="M86" s="5">
        <f t="shared" si="7"/>
        <v>0</v>
      </c>
    </row>
    <row r="87" spans="1:13" x14ac:dyDescent="0.3">
      <c r="A87" s="25" t="s">
        <v>164</v>
      </c>
      <c r="B87" s="25" t="s">
        <v>407</v>
      </c>
      <c r="C87" s="25" t="s">
        <v>54</v>
      </c>
      <c r="D87" s="4" t="s">
        <v>248</v>
      </c>
      <c r="E87" s="4" t="s">
        <v>249</v>
      </c>
      <c r="F87" s="4" t="s">
        <v>250</v>
      </c>
      <c r="G87" s="30">
        <v>20</v>
      </c>
      <c r="H87" s="30">
        <v>0</v>
      </c>
      <c r="I87" s="6"/>
      <c r="J87" s="6"/>
      <c r="K87" s="3" t="s">
        <v>4</v>
      </c>
      <c r="L87" s="5">
        <f t="shared" si="6"/>
        <v>20</v>
      </c>
      <c r="M87" s="5">
        <f t="shared" si="7"/>
        <v>20</v>
      </c>
    </row>
    <row r="88" spans="1:13" x14ac:dyDescent="0.3">
      <c r="A88" s="25" t="s">
        <v>164</v>
      </c>
      <c r="B88" s="25" t="s">
        <v>407</v>
      </c>
      <c r="C88" s="25" t="s">
        <v>56</v>
      </c>
      <c r="D88" s="4" t="s">
        <v>165</v>
      </c>
      <c r="E88" s="4" t="s">
        <v>166</v>
      </c>
      <c r="F88" s="4" t="s">
        <v>167</v>
      </c>
      <c r="G88" s="29">
        <v>249.0334</v>
      </c>
      <c r="H88" s="29">
        <v>2.1</v>
      </c>
      <c r="I88" s="6"/>
      <c r="J88" s="6"/>
      <c r="K88" s="3" t="s">
        <v>4</v>
      </c>
      <c r="L88" s="5">
        <f t="shared" si="6"/>
        <v>243.80369859999999</v>
      </c>
      <c r="M88" s="5">
        <f t="shared" si="7"/>
        <v>254.26310139999998</v>
      </c>
    </row>
    <row r="89" spans="1:13" x14ac:dyDescent="0.3">
      <c r="A89" s="24" t="s">
        <v>164</v>
      </c>
      <c r="B89" s="24" t="s">
        <v>407</v>
      </c>
      <c r="C89" s="24" t="s">
        <v>56</v>
      </c>
      <c r="D89" s="4" t="s">
        <v>168</v>
      </c>
      <c r="E89" s="4" t="s">
        <v>169</v>
      </c>
      <c r="F89" s="4" t="s">
        <v>170</v>
      </c>
      <c r="G89" s="28">
        <v>417</v>
      </c>
      <c r="H89" s="28">
        <v>8</v>
      </c>
      <c r="I89" s="6"/>
      <c r="J89" s="6"/>
      <c r="K89" s="3" t="s">
        <v>4</v>
      </c>
      <c r="L89" s="5">
        <f t="shared" si="6"/>
        <v>383.64000000000004</v>
      </c>
      <c r="M89" s="5">
        <f t="shared" si="7"/>
        <v>450.36</v>
      </c>
    </row>
    <row r="90" spans="1:13" x14ac:dyDescent="0.3">
      <c r="A90" s="25" t="s">
        <v>164</v>
      </c>
      <c r="B90" s="25" t="s">
        <v>407</v>
      </c>
      <c r="C90" s="25" t="s">
        <v>56</v>
      </c>
      <c r="D90" s="4" t="s">
        <v>172</v>
      </c>
      <c r="E90" s="4" t="s">
        <v>173</v>
      </c>
      <c r="F90" s="4" t="s">
        <v>170</v>
      </c>
      <c r="G90" s="29">
        <v>650</v>
      </c>
      <c r="H90" s="29">
        <v>8</v>
      </c>
      <c r="I90" s="6"/>
      <c r="J90" s="6"/>
      <c r="K90" s="3" t="s">
        <v>4</v>
      </c>
      <c r="L90" s="5">
        <f t="shared" si="6"/>
        <v>598</v>
      </c>
      <c r="M90" s="5">
        <f t="shared" si="7"/>
        <v>702</v>
      </c>
    </row>
    <row r="91" spans="1:13" x14ac:dyDescent="0.3">
      <c r="A91" s="24" t="s">
        <v>164</v>
      </c>
      <c r="B91" s="24" t="s">
        <v>407</v>
      </c>
      <c r="C91" s="24" t="s">
        <v>56</v>
      </c>
      <c r="D91" s="4" t="s">
        <v>174</v>
      </c>
      <c r="E91" s="4" t="s">
        <v>175</v>
      </c>
      <c r="F91" s="4" t="s">
        <v>176</v>
      </c>
      <c r="G91" s="28">
        <v>0.39932800000000002</v>
      </c>
      <c r="H91" s="28"/>
      <c r="I91" s="26">
        <v>0.33800000000000002</v>
      </c>
      <c r="J91" s="26">
        <v>0.81179999999999997</v>
      </c>
      <c r="K91" s="24" t="s">
        <v>8</v>
      </c>
      <c r="L91" s="5">
        <f t="shared" si="6"/>
        <v>0.33800000000000002</v>
      </c>
      <c r="M91" s="5">
        <f t="shared" si="7"/>
        <v>0.81179999999999997</v>
      </c>
    </row>
    <row r="92" spans="1:13" x14ac:dyDescent="0.3">
      <c r="A92" s="25" t="s">
        <v>164</v>
      </c>
      <c r="B92" s="25" t="s">
        <v>407</v>
      </c>
      <c r="C92" s="25" t="s">
        <v>56</v>
      </c>
      <c r="D92" s="4" t="s">
        <v>178</v>
      </c>
      <c r="E92" s="4" t="s">
        <v>179</v>
      </c>
      <c r="F92" s="4" t="s">
        <v>180</v>
      </c>
      <c r="G92" s="31">
        <v>0</v>
      </c>
      <c r="H92" s="31">
        <v>0</v>
      </c>
      <c r="I92" s="6"/>
      <c r="J92" s="6"/>
      <c r="K92" s="3" t="s">
        <v>4</v>
      </c>
      <c r="L92" s="5">
        <f t="shared" si="6"/>
        <v>0</v>
      </c>
      <c r="M92" s="5">
        <f t="shared" si="7"/>
        <v>0</v>
      </c>
    </row>
    <row r="93" spans="1:13" x14ac:dyDescent="0.3">
      <c r="A93" s="24" t="s">
        <v>164</v>
      </c>
      <c r="B93" s="24" t="s">
        <v>407</v>
      </c>
      <c r="C93" s="24" t="s">
        <v>56</v>
      </c>
      <c r="D93" s="4" t="s">
        <v>181</v>
      </c>
      <c r="E93" s="4" t="s">
        <v>182</v>
      </c>
      <c r="F93" s="4" t="s">
        <v>183</v>
      </c>
      <c r="G93" s="31">
        <v>0</v>
      </c>
      <c r="H93" s="31">
        <v>0</v>
      </c>
      <c r="I93" s="6"/>
      <c r="J93" s="6"/>
      <c r="K93" s="3" t="s">
        <v>4</v>
      </c>
      <c r="L93" s="5">
        <f t="shared" si="6"/>
        <v>0</v>
      </c>
      <c r="M93" s="5">
        <f t="shared" si="7"/>
        <v>0</v>
      </c>
    </row>
    <row r="94" spans="1:13" x14ac:dyDescent="0.3">
      <c r="A94" s="24" t="s">
        <v>164</v>
      </c>
      <c r="B94" s="24" t="s">
        <v>407</v>
      </c>
      <c r="C94" s="24" t="s">
        <v>56</v>
      </c>
      <c r="D94" s="4" t="s">
        <v>184</v>
      </c>
      <c r="E94" s="4" t="s">
        <v>185</v>
      </c>
      <c r="F94" s="4" t="s">
        <v>186</v>
      </c>
      <c r="G94" s="28">
        <v>0</v>
      </c>
      <c r="H94" s="28">
        <v>0</v>
      </c>
      <c r="I94" s="6"/>
      <c r="J94" s="6"/>
      <c r="K94" s="3" t="s">
        <v>10</v>
      </c>
      <c r="L94" s="5">
        <f t="shared" si="6"/>
        <v>0</v>
      </c>
      <c r="M94" s="5">
        <f t="shared" si="7"/>
        <v>0</v>
      </c>
    </row>
    <row r="95" spans="1:13" x14ac:dyDescent="0.3">
      <c r="A95" s="25" t="s">
        <v>164</v>
      </c>
      <c r="B95" s="25" t="s">
        <v>407</v>
      </c>
      <c r="C95" s="25" t="s">
        <v>56</v>
      </c>
      <c r="D95" s="4" t="s">
        <v>187</v>
      </c>
      <c r="E95" s="4" t="s">
        <v>188</v>
      </c>
      <c r="F95" s="4" t="s">
        <v>183</v>
      </c>
      <c r="G95" s="28">
        <v>66.260000000000005</v>
      </c>
      <c r="H95" s="28"/>
      <c r="I95" s="26">
        <v>55.260840000000002</v>
      </c>
      <c r="J95" s="26">
        <v>71.494540000000001</v>
      </c>
      <c r="K95" s="24" t="s">
        <v>8</v>
      </c>
      <c r="L95" s="5">
        <f t="shared" ref="L95:L126" si="8">IF(I95&lt;&gt;"",I95,IF(AND(G95&lt;&gt;"",H95&lt;&gt;""),G95*(1-H95/100),""))</f>
        <v>55.260840000000002</v>
      </c>
      <c r="M95" s="5">
        <f t="shared" ref="M95:M126" si="9">IF(J95&lt;&gt;"",J95,IF(AND(G95&lt;&gt;"",H95&lt;&gt;""),G95*(1+H95/100),""))</f>
        <v>71.494540000000001</v>
      </c>
    </row>
    <row r="96" spans="1:13" x14ac:dyDescent="0.3">
      <c r="A96" s="24" t="s">
        <v>164</v>
      </c>
      <c r="B96" s="24" t="s">
        <v>407</v>
      </c>
      <c r="C96" s="24" t="s">
        <v>56</v>
      </c>
      <c r="D96" s="4" t="s">
        <v>42</v>
      </c>
      <c r="E96" s="4" t="s">
        <v>190</v>
      </c>
      <c r="F96" s="4" t="s">
        <v>191</v>
      </c>
      <c r="G96" s="31">
        <v>0.32200000000000001</v>
      </c>
      <c r="H96" s="31">
        <v>15</v>
      </c>
      <c r="I96" s="6"/>
      <c r="J96" s="6"/>
      <c r="K96" s="3" t="s">
        <v>7</v>
      </c>
      <c r="L96" s="5">
        <f t="shared" si="8"/>
        <v>0.2737</v>
      </c>
      <c r="M96" s="5">
        <f t="shared" si="9"/>
        <v>0.37029999999999996</v>
      </c>
    </row>
    <row r="97" spans="1:13" x14ac:dyDescent="0.3">
      <c r="A97" s="25" t="s">
        <v>164</v>
      </c>
      <c r="B97" s="25" t="s">
        <v>407</v>
      </c>
      <c r="C97" s="25" t="s">
        <v>56</v>
      </c>
      <c r="D97" s="4" t="s">
        <v>193</v>
      </c>
      <c r="E97" s="4" t="s">
        <v>194</v>
      </c>
      <c r="F97" s="4" t="s">
        <v>195</v>
      </c>
      <c r="G97" s="31">
        <v>0.17</v>
      </c>
      <c r="H97" s="31">
        <v>15</v>
      </c>
      <c r="I97" s="6"/>
      <c r="J97" s="6"/>
      <c r="K97" s="3" t="s">
        <v>7</v>
      </c>
      <c r="L97" s="5">
        <f t="shared" si="8"/>
        <v>0.14450000000000002</v>
      </c>
      <c r="M97" s="5">
        <f t="shared" si="9"/>
        <v>0.19550000000000001</v>
      </c>
    </row>
    <row r="98" spans="1:13" x14ac:dyDescent="0.3">
      <c r="A98" s="24" t="s">
        <v>164</v>
      </c>
      <c r="B98" s="24" t="s">
        <v>407</v>
      </c>
      <c r="C98" s="24" t="s">
        <v>56</v>
      </c>
      <c r="D98" s="4" t="s">
        <v>197</v>
      </c>
      <c r="E98" s="4" t="s">
        <v>198</v>
      </c>
      <c r="F98" s="4" t="s">
        <v>195</v>
      </c>
      <c r="G98" s="31">
        <v>1.0900000000000001</v>
      </c>
      <c r="H98" s="31">
        <v>15</v>
      </c>
      <c r="I98" s="6"/>
      <c r="J98" s="6"/>
      <c r="K98" s="3" t="s">
        <v>9</v>
      </c>
      <c r="L98" s="5">
        <f t="shared" si="8"/>
        <v>0.92649999999999999</v>
      </c>
      <c r="M98" s="5">
        <f t="shared" si="9"/>
        <v>1.2535000000000001</v>
      </c>
    </row>
    <row r="99" spans="1:13" x14ac:dyDescent="0.3">
      <c r="A99" s="25" t="s">
        <v>164</v>
      </c>
      <c r="B99" s="25" t="s">
        <v>407</v>
      </c>
      <c r="C99" s="25" t="s">
        <v>56</v>
      </c>
      <c r="D99" s="4" t="s">
        <v>200</v>
      </c>
      <c r="E99" s="4" t="s">
        <v>201</v>
      </c>
      <c r="F99" s="4" t="s">
        <v>195</v>
      </c>
      <c r="G99" s="31">
        <v>0.1</v>
      </c>
      <c r="H99" s="31">
        <v>15</v>
      </c>
      <c r="I99" s="6"/>
      <c r="J99" s="6"/>
      <c r="K99" s="3" t="s">
        <v>7</v>
      </c>
      <c r="L99" s="5">
        <f t="shared" si="8"/>
        <v>8.5000000000000006E-2</v>
      </c>
      <c r="M99" s="5">
        <f t="shared" si="9"/>
        <v>0.11499999999999999</v>
      </c>
    </row>
    <row r="100" spans="1:13" x14ac:dyDescent="0.3">
      <c r="A100" s="24" t="s">
        <v>164</v>
      </c>
      <c r="B100" s="24" t="s">
        <v>407</v>
      </c>
      <c r="C100" s="24" t="s">
        <v>56</v>
      </c>
      <c r="D100" s="4" t="s">
        <v>203</v>
      </c>
      <c r="E100" s="4" t="s">
        <v>204</v>
      </c>
      <c r="F100" s="4" t="s">
        <v>205</v>
      </c>
      <c r="G100" s="31">
        <v>0</v>
      </c>
      <c r="H100" s="31">
        <v>0</v>
      </c>
      <c r="I100" s="6"/>
      <c r="J100" s="6"/>
      <c r="K100" s="3" t="s">
        <v>9</v>
      </c>
      <c r="L100" s="5">
        <f t="shared" si="8"/>
        <v>0</v>
      </c>
      <c r="M100" s="5">
        <f t="shared" si="9"/>
        <v>0</v>
      </c>
    </row>
    <row r="101" spans="1:13" x14ac:dyDescent="0.3">
      <c r="A101" s="24" t="s">
        <v>164</v>
      </c>
      <c r="B101" s="24" t="s">
        <v>407</v>
      </c>
      <c r="C101" s="24" t="s">
        <v>56</v>
      </c>
      <c r="D101" s="4" t="s">
        <v>207</v>
      </c>
      <c r="E101" s="4" t="s">
        <v>208</v>
      </c>
      <c r="F101" s="4" t="s">
        <v>183</v>
      </c>
      <c r="G101" s="28">
        <v>10.78</v>
      </c>
      <c r="H101" s="28"/>
      <c r="I101" s="26">
        <v>10.45</v>
      </c>
      <c r="J101" s="26">
        <v>14.259</v>
      </c>
      <c r="K101" s="24" t="s">
        <v>8</v>
      </c>
      <c r="L101" s="5">
        <f t="shared" si="8"/>
        <v>10.45</v>
      </c>
      <c r="M101" s="5">
        <f t="shared" si="9"/>
        <v>14.259</v>
      </c>
    </row>
    <row r="102" spans="1:13" x14ac:dyDescent="0.3">
      <c r="A102" s="24" t="s">
        <v>164</v>
      </c>
      <c r="B102" s="24" t="s">
        <v>407</v>
      </c>
      <c r="C102" s="24" t="s">
        <v>56</v>
      </c>
      <c r="D102" s="4" t="s">
        <v>210</v>
      </c>
      <c r="E102" s="4" t="s">
        <v>211</v>
      </c>
      <c r="F102" s="4" t="s">
        <v>183</v>
      </c>
      <c r="G102" s="28">
        <v>6.3</v>
      </c>
      <c r="H102" s="28">
        <v>20</v>
      </c>
      <c r="I102" s="6"/>
      <c r="J102" s="6"/>
      <c r="K102" s="3" t="s">
        <v>4</v>
      </c>
      <c r="L102" s="5">
        <f t="shared" si="8"/>
        <v>5.04</v>
      </c>
      <c r="M102" s="5">
        <f t="shared" si="9"/>
        <v>7.56</v>
      </c>
    </row>
    <row r="103" spans="1:13" x14ac:dyDescent="0.3">
      <c r="A103" s="24" t="s">
        <v>164</v>
      </c>
      <c r="B103" s="24" t="s">
        <v>407</v>
      </c>
      <c r="C103" s="24" t="s">
        <v>56</v>
      </c>
      <c r="D103" s="4" t="s">
        <v>213</v>
      </c>
      <c r="E103" s="4" t="s">
        <v>214</v>
      </c>
      <c r="F103" s="4" t="s">
        <v>215</v>
      </c>
      <c r="G103" s="30">
        <v>0.13</v>
      </c>
      <c r="H103" s="30">
        <v>15</v>
      </c>
      <c r="I103" s="6"/>
      <c r="J103" s="6"/>
      <c r="K103" s="3" t="s">
        <v>9</v>
      </c>
      <c r="L103" s="5">
        <f t="shared" si="8"/>
        <v>0.1105</v>
      </c>
      <c r="M103" s="5">
        <f t="shared" si="9"/>
        <v>0.14949999999999999</v>
      </c>
    </row>
    <row r="104" spans="1:13" x14ac:dyDescent="0.3">
      <c r="A104" s="24" t="s">
        <v>164</v>
      </c>
      <c r="B104" s="24" t="s">
        <v>407</v>
      </c>
      <c r="C104" s="24" t="s">
        <v>56</v>
      </c>
      <c r="D104" s="4" t="s">
        <v>217</v>
      </c>
      <c r="E104" s="4" t="s">
        <v>218</v>
      </c>
      <c r="F104" s="4" t="s">
        <v>219</v>
      </c>
      <c r="G104" s="30">
        <v>0.08</v>
      </c>
      <c r="H104" s="30">
        <v>10</v>
      </c>
      <c r="I104" s="6"/>
      <c r="J104" s="6"/>
      <c r="K104" s="3" t="s">
        <v>9</v>
      </c>
      <c r="L104" s="5">
        <f t="shared" si="8"/>
        <v>7.2000000000000008E-2</v>
      </c>
      <c r="M104" s="5">
        <f t="shared" si="9"/>
        <v>8.8000000000000009E-2</v>
      </c>
    </row>
    <row r="105" spans="1:13" x14ac:dyDescent="0.3">
      <c r="A105" s="24" t="s">
        <v>164</v>
      </c>
      <c r="B105" s="24" t="s">
        <v>407</v>
      </c>
      <c r="C105" s="24" t="s">
        <v>56</v>
      </c>
      <c r="D105" s="4" t="s">
        <v>221</v>
      </c>
      <c r="E105" s="4" t="s">
        <v>222</v>
      </c>
      <c r="F105" s="4" t="s">
        <v>219</v>
      </c>
      <c r="G105" s="30">
        <v>0.04</v>
      </c>
      <c r="H105" s="30">
        <v>10</v>
      </c>
      <c r="I105" s="6"/>
      <c r="J105" s="6"/>
      <c r="K105" s="3" t="s">
        <v>9</v>
      </c>
      <c r="L105" s="5">
        <f t="shared" si="8"/>
        <v>3.6000000000000004E-2</v>
      </c>
      <c r="M105" s="5">
        <f t="shared" si="9"/>
        <v>4.4000000000000004E-2</v>
      </c>
    </row>
    <row r="106" spans="1:13" x14ac:dyDescent="0.3">
      <c r="A106" s="24" t="s">
        <v>164</v>
      </c>
      <c r="B106" s="24" t="s">
        <v>407</v>
      </c>
      <c r="C106" s="24" t="s">
        <v>56</v>
      </c>
      <c r="D106" s="4" t="s">
        <v>223</v>
      </c>
      <c r="E106" s="4" t="s">
        <v>224</v>
      </c>
      <c r="F106" s="4" t="s">
        <v>225</v>
      </c>
      <c r="G106" s="30">
        <v>6.0000000000000001E-3</v>
      </c>
      <c r="H106" s="30"/>
      <c r="I106" s="6">
        <v>0</v>
      </c>
      <c r="J106" s="6">
        <v>2.7E-2</v>
      </c>
      <c r="K106" s="3" t="s">
        <v>9</v>
      </c>
      <c r="L106" s="5">
        <f t="shared" si="8"/>
        <v>0</v>
      </c>
      <c r="M106" s="5">
        <f t="shared" si="9"/>
        <v>2.7E-2</v>
      </c>
    </row>
    <row r="107" spans="1:13" x14ac:dyDescent="0.3">
      <c r="A107" s="24" t="s">
        <v>164</v>
      </c>
      <c r="B107" s="24" t="s">
        <v>407</v>
      </c>
      <c r="C107" s="24" t="s">
        <v>56</v>
      </c>
      <c r="D107" s="4" t="s">
        <v>227</v>
      </c>
      <c r="E107" s="4" t="s">
        <v>228</v>
      </c>
      <c r="F107" s="4" t="s">
        <v>225</v>
      </c>
      <c r="G107" s="31"/>
      <c r="H107" s="31"/>
      <c r="I107" s="6"/>
      <c r="J107" s="6"/>
      <c r="K107" s="3" t="s">
        <v>9</v>
      </c>
      <c r="L107" s="5" t="str">
        <f t="shared" si="8"/>
        <v/>
      </c>
      <c r="M107" s="5" t="str">
        <f t="shared" si="9"/>
        <v/>
      </c>
    </row>
    <row r="108" spans="1:13" x14ac:dyDescent="0.3">
      <c r="A108" s="24" t="s">
        <v>164</v>
      </c>
      <c r="B108" s="24" t="s">
        <v>407</v>
      </c>
      <c r="C108" s="24" t="s">
        <v>56</v>
      </c>
      <c r="D108" s="4" t="s">
        <v>230</v>
      </c>
      <c r="E108" s="4" t="s">
        <v>231</v>
      </c>
      <c r="F108" s="4" t="s">
        <v>219</v>
      </c>
      <c r="G108" s="31"/>
      <c r="H108" s="31"/>
      <c r="I108" s="6"/>
      <c r="J108" s="6"/>
      <c r="K108" s="3" t="s">
        <v>9</v>
      </c>
      <c r="L108" s="5" t="str">
        <f t="shared" si="8"/>
        <v/>
      </c>
      <c r="M108" s="5" t="str">
        <f t="shared" si="9"/>
        <v/>
      </c>
    </row>
    <row r="109" spans="1:13" x14ac:dyDescent="0.3">
      <c r="A109" s="24" t="s">
        <v>164</v>
      </c>
      <c r="B109" s="24" t="s">
        <v>407</v>
      </c>
      <c r="C109" s="24" t="s">
        <v>56</v>
      </c>
      <c r="D109" s="4" t="s">
        <v>233</v>
      </c>
      <c r="E109" s="4" t="s">
        <v>234</v>
      </c>
      <c r="F109" s="4" t="s">
        <v>225</v>
      </c>
      <c r="G109" s="30">
        <v>1.4E-2</v>
      </c>
      <c r="H109" s="30"/>
      <c r="I109" s="6">
        <v>1.0999999999999999E-2</v>
      </c>
      <c r="J109" s="6">
        <v>1.7000000000000001E-2</v>
      </c>
      <c r="K109" s="3" t="s">
        <v>9</v>
      </c>
      <c r="L109" s="5">
        <f t="shared" si="8"/>
        <v>1.0999999999999999E-2</v>
      </c>
      <c r="M109" s="5">
        <f t="shared" si="9"/>
        <v>1.7000000000000001E-2</v>
      </c>
    </row>
    <row r="110" spans="1:13" x14ac:dyDescent="0.3">
      <c r="A110" s="24" t="s">
        <v>164</v>
      </c>
      <c r="B110" s="24" t="s">
        <v>407</v>
      </c>
      <c r="C110" s="24" t="s">
        <v>56</v>
      </c>
      <c r="D110" s="4" t="s">
        <v>236</v>
      </c>
      <c r="E110" s="4" t="s">
        <v>237</v>
      </c>
      <c r="F110" s="4" t="s">
        <v>225</v>
      </c>
      <c r="G110" s="30">
        <v>1.0999999999999999E-2</v>
      </c>
      <c r="H110" s="30"/>
      <c r="I110" s="6">
        <v>0</v>
      </c>
      <c r="J110" s="6">
        <v>0.02</v>
      </c>
      <c r="K110" s="3" t="s">
        <v>9</v>
      </c>
      <c r="L110" s="5">
        <f t="shared" si="8"/>
        <v>0</v>
      </c>
      <c r="M110" s="5">
        <f t="shared" si="9"/>
        <v>0.02</v>
      </c>
    </row>
    <row r="111" spans="1:13" x14ac:dyDescent="0.3">
      <c r="A111" s="24" t="s">
        <v>164</v>
      </c>
      <c r="B111" s="24" t="s">
        <v>407</v>
      </c>
      <c r="C111" s="24" t="s">
        <v>56</v>
      </c>
      <c r="D111" s="4" t="s">
        <v>238</v>
      </c>
      <c r="E111" s="4" t="s">
        <v>239</v>
      </c>
      <c r="F111" s="4" t="s">
        <v>219</v>
      </c>
      <c r="G111" s="31"/>
      <c r="H111" s="31"/>
      <c r="I111" s="6"/>
      <c r="J111" s="6"/>
      <c r="K111" s="3" t="s">
        <v>12</v>
      </c>
      <c r="L111" s="5" t="str">
        <f t="shared" si="8"/>
        <v/>
      </c>
      <c r="M111" s="5" t="str">
        <f t="shared" si="9"/>
        <v/>
      </c>
    </row>
    <row r="112" spans="1:13" x14ac:dyDescent="0.3">
      <c r="A112" s="24" t="s">
        <v>164</v>
      </c>
      <c r="B112" s="24" t="s">
        <v>407</v>
      </c>
      <c r="C112" s="24" t="s">
        <v>56</v>
      </c>
      <c r="D112" s="4" t="s">
        <v>241</v>
      </c>
      <c r="E112" s="4" t="s">
        <v>242</v>
      </c>
      <c r="F112" s="4" t="s">
        <v>219</v>
      </c>
      <c r="G112" s="30">
        <v>0.21</v>
      </c>
      <c r="H112" s="30"/>
      <c r="I112" s="6">
        <v>0</v>
      </c>
      <c r="J112" s="6">
        <v>0.31</v>
      </c>
      <c r="K112" s="3" t="s">
        <v>9</v>
      </c>
      <c r="L112" s="5">
        <f t="shared" si="8"/>
        <v>0</v>
      </c>
      <c r="M112" s="5">
        <f t="shared" si="9"/>
        <v>0.31</v>
      </c>
    </row>
    <row r="113" spans="1:13" x14ac:dyDescent="0.3">
      <c r="A113" s="24" t="s">
        <v>164</v>
      </c>
      <c r="B113" s="24" t="s">
        <v>407</v>
      </c>
      <c r="C113" s="24" t="s">
        <v>56</v>
      </c>
      <c r="D113" s="4" t="s">
        <v>243</v>
      </c>
      <c r="E113" s="4" t="s">
        <v>244</v>
      </c>
      <c r="F113" s="4" t="s">
        <v>219</v>
      </c>
      <c r="G113" s="30">
        <v>0.24</v>
      </c>
      <c r="H113" s="30"/>
      <c r="I113" s="6">
        <v>0.01</v>
      </c>
      <c r="J113" s="6">
        <v>0.73</v>
      </c>
      <c r="K113" s="3" t="s">
        <v>9</v>
      </c>
      <c r="L113" s="5">
        <f t="shared" si="8"/>
        <v>0.01</v>
      </c>
      <c r="M113" s="5">
        <f t="shared" si="9"/>
        <v>0.73</v>
      </c>
    </row>
    <row r="114" spans="1:13" x14ac:dyDescent="0.3">
      <c r="A114" s="24" t="s">
        <v>164</v>
      </c>
      <c r="B114" s="24" t="s">
        <v>407</v>
      </c>
      <c r="C114" s="24" t="s">
        <v>56</v>
      </c>
      <c r="D114" s="4" t="s">
        <v>245</v>
      </c>
      <c r="E114" s="4" t="s">
        <v>246</v>
      </c>
      <c r="F114" s="4" t="s">
        <v>183</v>
      </c>
      <c r="G114" s="31">
        <v>0</v>
      </c>
      <c r="H114" s="31">
        <v>0</v>
      </c>
      <c r="I114" s="6"/>
      <c r="J114" s="6"/>
      <c r="K114" s="3" t="s">
        <v>4</v>
      </c>
      <c r="L114" s="5">
        <f t="shared" si="8"/>
        <v>0</v>
      </c>
      <c r="M114" s="5">
        <f t="shared" si="9"/>
        <v>0</v>
      </c>
    </row>
    <row r="115" spans="1:13" x14ac:dyDescent="0.3">
      <c r="A115" s="24" t="s">
        <v>164</v>
      </c>
      <c r="B115" s="24" t="s">
        <v>407</v>
      </c>
      <c r="C115" s="24" t="s">
        <v>56</v>
      </c>
      <c r="D115" s="4" t="s">
        <v>248</v>
      </c>
      <c r="E115" s="4" t="s">
        <v>249</v>
      </c>
      <c r="F115" s="4" t="s">
        <v>250</v>
      </c>
      <c r="G115" s="30">
        <v>20</v>
      </c>
      <c r="H115" s="30">
        <v>0</v>
      </c>
      <c r="I115" s="6"/>
      <c r="J115" s="6"/>
      <c r="K115" s="3" t="s">
        <v>4</v>
      </c>
      <c r="L115" s="5">
        <f t="shared" si="8"/>
        <v>20</v>
      </c>
      <c r="M115" s="5">
        <f t="shared" si="9"/>
        <v>20</v>
      </c>
    </row>
    <row r="116" spans="1:13" x14ac:dyDescent="0.3">
      <c r="A116" s="24" t="s">
        <v>164</v>
      </c>
      <c r="B116" s="24" t="s">
        <v>407</v>
      </c>
      <c r="C116" s="24" t="s">
        <v>408</v>
      </c>
      <c r="D116" s="4" t="s">
        <v>165</v>
      </c>
      <c r="E116" s="4" t="s">
        <v>166</v>
      </c>
      <c r="F116" s="4" t="s">
        <v>167</v>
      </c>
      <c r="G116" s="28">
        <v>9769.6962999999996</v>
      </c>
      <c r="H116" s="28">
        <v>2.1</v>
      </c>
      <c r="I116" s="6"/>
      <c r="J116" s="6"/>
      <c r="K116" s="3" t="s">
        <v>4</v>
      </c>
      <c r="L116" s="5">
        <f t="shared" si="8"/>
        <v>9564.5326776999991</v>
      </c>
      <c r="M116" s="5">
        <f t="shared" si="9"/>
        <v>9974.8599222999983</v>
      </c>
    </row>
    <row r="117" spans="1:13" x14ac:dyDescent="0.3">
      <c r="A117" s="24" t="s">
        <v>164</v>
      </c>
      <c r="B117" s="25" t="s">
        <v>407</v>
      </c>
      <c r="C117" s="24" t="s">
        <v>408</v>
      </c>
      <c r="D117" s="4" t="s">
        <v>168</v>
      </c>
      <c r="E117" s="4" t="s">
        <v>169</v>
      </c>
      <c r="F117" s="4" t="s">
        <v>170</v>
      </c>
      <c r="G117" s="29">
        <v>199</v>
      </c>
      <c r="H117" s="29">
        <v>9</v>
      </c>
      <c r="I117" s="6"/>
      <c r="J117" s="6"/>
      <c r="K117" s="3" t="s">
        <v>4</v>
      </c>
      <c r="L117" s="5">
        <f t="shared" si="8"/>
        <v>181.09</v>
      </c>
      <c r="M117" s="5">
        <f t="shared" si="9"/>
        <v>216.91000000000003</v>
      </c>
    </row>
    <row r="118" spans="1:13" x14ac:dyDescent="0.3">
      <c r="A118" s="24" t="s">
        <v>164</v>
      </c>
      <c r="B118" s="24" t="s">
        <v>407</v>
      </c>
      <c r="C118" s="24" t="s">
        <v>408</v>
      </c>
      <c r="D118" s="4" t="s">
        <v>172</v>
      </c>
      <c r="E118" s="4" t="s">
        <v>173</v>
      </c>
      <c r="F118" s="4" t="s">
        <v>170</v>
      </c>
      <c r="G118" s="28">
        <v>563.63699999999994</v>
      </c>
      <c r="H118" s="28">
        <v>9</v>
      </c>
      <c r="I118" s="6"/>
      <c r="J118" s="6"/>
      <c r="K118" s="3" t="s">
        <v>4</v>
      </c>
      <c r="L118" s="5">
        <f t="shared" si="8"/>
        <v>512.90967000000001</v>
      </c>
      <c r="M118" s="5">
        <f t="shared" si="9"/>
        <v>614.36433</v>
      </c>
    </row>
    <row r="119" spans="1:13" x14ac:dyDescent="0.3">
      <c r="A119" s="24" t="s">
        <v>164</v>
      </c>
      <c r="B119" s="25" t="s">
        <v>407</v>
      </c>
      <c r="C119" s="24" t="s">
        <v>408</v>
      </c>
      <c r="D119" s="4" t="s">
        <v>174</v>
      </c>
      <c r="E119" s="4" t="s">
        <v>175</v>
      </c>
      <c r="F119" s="4" t="s">
        <v>176</v>
      </c>
      <c r="G119" s="29">
        <v>0.90792600000000001</v>
      </c>
      <c r="H119" s="29"/>
      <c r="I119" s="27">
        <v>0.58199999999999996</v>
      </c>
      <c r="J119" s="27">
        <v>1.1133999999999999</v>
      </c>
      <c r="K119" s="25" t="s">
        <v>8</v>
      </c>
      <c r="L119" s="5">
        <f t="shared" si="8"/>
        <v>0.58199999999999996</v>
      </c>
      <c r="M119" s="5">
        <f t="shared" si="9"/>
        <v>1.1133999999999999</v>
      </c>
    </row>
    <row r="120" spans="1:13" x14ac:dyDescent="0.3">
      <c r="A120" s="24" t="s">
        <v>164</v>
      </c>
      <c r="B120" s="24" t="s">
        <v>407</v>
      </c>
      <c r="C120" s="24" t="s">
        <v>408</v>
      </c>
      <c r="D120" s="4" t="s">
        <v>178</v>
      </c>
      <c r="E120" s="4" t="s">
        <v>179</v>
      </c>
      <c r="F120" s="4" t="s">
        <v>180</v>
      </c>
      <c r="G120" s="31">
        <v>0</v>
      </c>
      <c r="H120" s="31">
        <v>0</v>
      </c>
      <c r="I120" s="6"/>
      <c r="J120" s="6"/>
      <c r="K120" s="3" t="s">
        <v>4</v>
      </c>
      <c r="L120" s="5">
        <f t="shared" si="8"/>
        <v>0</v>
      </c>
      <c r="M120" s="5">
        <f t="shared" si="9"/>
        <v>0</v>
      </c>
    </row>
    <row r="121" spans="1:13" x14ac:dyDescent="0.3">
      <c r="A121" s="24" t="s">
        <v>164</v>
      </c>
      <c r="B121" s="25" t="s">
        <v>407</v>
      </c>
      <c r="C121" s="24" t="s">
        <v>408</v>
      </c>
      <c r="D121" s="4" t="s">
        <v>181</v>
      </c>
      <c r="E121" s="4" t="s">
        <v>182</v>
      </c>
      <c r="F121" s="4" t="s">
        <v>183</v>
      </c>
      <c r="G121" s="31">
        <v>0</v>
      </c>
      <c r="H121" s="31">
        <v>0</v>
      </c>
      <c r="I121" s="6"/>
      <c r="J121" s="6"/>
      <c r="K121" s="3" t="s">
        <v>4</v>
      </c>
      <c r="L121" s="5">
        <f t="shared" si="8"/>
        <v>0</v>
      </c>
      <c r="M121" s="5">
        <f t="shared" si="9"/>
        <v>0</v>
      </c>
    </row>
    <row r="122" spans="1:13" x14ac:dyDescent="0.3">
      <c r="A122" s="24" t="s">
        <v>164</v>
      </c>
      <c r="B122" s="25" t="s">
        <v>407</v>
      </c>
      <c r="C122" s="24" t="s">
        <v>408</v>
      </c>
      <c r="D122" s="4" t="s">
        <v>184</v>
      </c>
      <c r="E122" s="4" t="s">
        <v>185</v>
      </c>
      <c r="F122" s="4" t="s">
        <v>186</v>
      </c>
      <c r="G122" s="28">
        <v>0</v>
      </c>
      <c r="H122" s="28">
        <v>0</v>
      </c>
      <c r="I122" s="6"/>
      <c r="J122" s="6"/>
      <c r="K122" s="3" t="s">
        <v>10</v>
      </c>
      <c r="L122" s="5">
        <f t="shared" si="8"/>
        <v>0</v>
      </c>
      <c r="M122" s="5">
        <f t="shared" si="9"/>
        <v>0</v>
      </c>
    </row>
    <row r="123" spans="1:13" x14ac:dyDescent="0.3">
      <c r="A123" s="24" t="s">
        <v>164</v>
      </c>
      <c r="B123" s="24" t="s">
        <v>407</v>
      </c>
      <c r="C123" s="24" t="s">
        <v>408</v>
      </c>
      <c r="D123" s="4" t="s">
        <v>187</v>
      </c>
      <c r="E123" s="4" t="s">
        <v>188</v>
      </c>
      <c r="F123" s="4" t="s">
        <v>183</v>
      </c>
      <c r="G123" s="29">
        <v>66.180000000000007</v>
      </c>
      <c r="H123" s="29"/>
      <c r="I123" s="27">
        <v>54.39996</v>
      </c>
      <c r="J123" s="27">
        <v>70.944959999999995</v>
      </c>
      <c r="K123" s="25" t="s">
        <v>8</v>
      </c>
      <c r="L123" s="5">
        <f t="shared" si="8"/>
        <v>54.39996</v>
      </c>
      <c r="M123" s="5">
        <f t="shared" si="9"/>
        <v>70.944959999999995</v>
      </c>
    </row>
    <row r="124" spans="1:13" x14ac:dyDescent="0.3">
      <c r="A124" s="24" t="s">
        <v>164</v>
      </c>
      <c r="B124" s="25" t="s">
        <v>407</v>
      </c>
      <c r="C124" s="24" t="s">
        <v>408</v>
      </c>
      <c r="D124" s="4" t="s">
        <v>42</v>
      </c>
      <c r="E124" s="4" t="s">
        <v>190</v>
      </c>
      <c r="F124" s="4" t="s">
        <v>191</v>
      </c>
      <c r="G124" s="31">
        <v>0.32200000000000001</v>
      </c>
      <c r="H124" s="31">
        <v>15</v>
      </c>
      <c r="I124" s="6"/>
      <c r="J124" s="6"/>
      <c r="K124" s="3" t="s">
        <v>7</v>
      </c>
      <c r="L124" s="5">
        <f t="shared" si="8"/>
        <v>0.2737</v>
      </c>
      <c r="M124" s="5">
        <f t="shared" si="9"/>
        <v>0.37029999999999996</v>
      </c>
    </row>
    <row r="125" spans="1:13" x14ac:dyDescent="0.3">
      <c r="A125" s="24" t="s">
        <v>164</v>
      </c>
      <c r="B125" s="24" t="s">
        <v>407</v>
      </c>
      <c r="C125" s="24" t="s">
        <v>408</v>
      </c>
      <c r="D125" s="4" t="s">
        <v>193</v>
      </c>
      <c r="E125" s="4" t="s">
        <v>194</v>
      </c>
      <c r="F125" s="4" t="s">
        <v>195</v>
      </c>
      <c r="G125" s="31">
        <v>0.17</v>
      </c>
      <c r="H125" s="31">
        <v>15</v>
      </c>
      <c r="I125" s="6"/>
      <c r="J125" s="6"/>
      <c r="K125" s="3" t="s">
        <v>7</v>
      </c>
      <c r="L125" s="5">
        <f t="shared" si="8"/>
        <v>0.14450000000000002</v>
      </c>
      <c r="M125" s="5">
        <f t="shared" si="9"/>
        <v>0.19550000000000001</v>
      </c>
    </row>
    <row r="126" spans="1:13" x14ac:dyDescent="0.3">
      <c r="A126" s="24" t="s">
        <v>164</v>
      </c>
      <c r="B126" s="25" t="s">
        <v>407</v>
      </c>
      <c r="C126" s="24" t="s">
        <v>408</v>
      </c>
      <c r="D126" s="4" t="s">
        <v>197</v>
      </c>
      <c r="E126" s="4" t="s">
        <v>198</v>
      </c>
      <c r="F126" s="4" t="s">
        <v>195</v>
      </c>
      <c r="G126" s="29">
        <v>0.88878400000000002</v>
      </c>
      <c r="H126" s="29">
        <v>15</v>
      </c>
      <c r="I126" s="6"/>
      <c r="J126" s="6"/>
      <c r="K126" s="3" t="s">
        <v>9</v>
      </c>
      <c r="L126" s="5">
        <f t="shared" si="8"/>
        <v>0.75546639999999998</v>
      </c>
      <c r="M126" s="5">
        <f t="shared" si="9"/>
        <v>1.0221015999999998</v>
      </c>
    </row>
    <row r="127" spans="1:13" x14ac:dyDescent="0.3">
      <c r="A127" s="24" t="s">
        <v>164</v>
      </c>
      <c r="B127" s="24" t="s">
        <v>407</v>
      </c>
      <c r="C127" s="24" t="s">
        <v>408</v>
      </c>
      <c r="D127" s="4" t="s">
        <v>200</v>
      </c>
      <c r="E127" s="4" t="s">
        <v>201</v>
      </c>
      <c r="F127" s="4" t="s">
        <v>195</v>
      </c>
      <c r="G127" s="31">
        <v>0.1</v>
      </c>
      <c r="H127" s="31">
        <v>15</v>
      </c>
      <c r="I127" s="6"/>
      <c r="J127" s="6"/>
      <c r="K127" s="3" t="s">
        <v>7</v>
      </c>
      <c r="L127" s="5">
        <f t="shared" ref="L127:L158" si="10">IF(I127&lt;&gt;"",I127,IF(AND(G127&lt;&gt;"",H127&lt;&gt;""),G127*(1-H127/100),""))</f>
        <v>8.5000000000000006E-2</v>
      </c>
      <c r="M127" s="5">
        <f t="shared" ref="M127:M158" si="11">IF(J127&lt;&gt;"",J127,IF(AND(G127&lt;&gt;"",H127&lt;&gt;""),G127*(1+H127/100),""))</f>
        <v>0.11499999999999999</v>
      </c>
    </row>
    <row r="128" spans="1:13" x14ac:dyDescent="0.3">
      <c r="A128" s="24" t="s">
        <v>164</v>
      </c>
      <c r="B128" s="25" t="s">
        <v>407</v>
      </c>
      <c r="C128" s="24" t="s">
        <v>408</v>
      </c>
      <c r="D128" s="4" t="s">
        <v>203</v>
      </c>
      <c r="E128" s="4" t="s">
        <v>204</v>
      </c>
      <c r="F128" s="4" t="s">
        <v>205</v>
      </c>
      <c r="G128" s="31">
        <v>0</v>
      </c>
      <c r="H128" s="31">
        <v>0</v>
      </c>
      <c r="I128" s="6"/>
      <c r="J128" s="6"/>
      <c r="K128" s="3" t="s">
        <v>9</v>
      </c>
      <c r="L128" s="5">
        <f t="shared" si="10"/>
        <v>0</v>
      </c>
      <c r="M128" s="5">
        <f t="shared" si="11"/>
        <v>0</v>
      </c>
    </row>
    <row r="129" spans="1:13" x14ac:dyDescent="0.3">
      <c r="A129" s="24" t="s">
        <v>164</v>
      </c>
      <c r="B129" s="25" t="s">
        <v>407</v>
      </c>
      <c r="C129" s="24" t="s">
        <v>408</v>
      </c>
      <c r="D129" s="4" t="s">
        <v>207</v>
      </c>
      <c r="E129" s="4" t="s">
        <v>208</v>
      </c>
      <c r="F129" s="4" t="s">
        <v>183</v>
      </c>
      <c r="G129" s="28">
        <v>11.49</v>
      </c>
      <c r="H129" s="28"/>
      <c r="I129" s="26">
        <v>11.25</v>
      </c>
      <c r="J129" s="26">
        <v>14.259</v>
      </c>
      <c r="K129" s="24" t="s">
        <v>8</v>
      </c>
      <c r="L129" s="5">
        <f t="shared" si="10"/>
        <v>11.25</v>
      </c>
      <c r="M129" s="5">
        <f t="shared" si="11"/>
        <v>14.259</v>
      </c>
    </row>
    <row r="130" spans="1:13" x14ac:dyDescent="0.3">
      <c r="A130" s="24" t="s">
        <v>164</v>
      </c>
      <c r="B130" s="25" t="s">
        <v>407</v>
      </c>
      <c r="C130" s="24" t="s">
        <v>408</v>
      </c>
      <c r="D130" s="4" t="s">
        <v>210</v>
      </c>
      <c r="E130" s="4" t="s">
        <v>211</v>
      </c>
      <c r="F130" s="4" t="s">
        <v>183</v>
      </c>
      <c r="G130" s="28">
        <v>5.2739729999999998</v>
      </c>
      <c r="H130" s="28">
        <v>20</v>
      </c>
      <c r="I130" s="6"/>
      <c r="J130" s="6"/>
      <c r="K130" s="3" t="s">
        <v>4</v>
      </c>
      <c r="L130" s="5">
        <f t="shared" si="10"/>
        <v>4.2191783999999997</v>
      </c>
      <c r="M130" s="5">
        <f t="shared" si="11"/>
        <v>6.3287675999999999</v>
      </c>
    </row>
    <row r="131" spans="1:13" x14ac:dyDescent="0.3">
      <c r="A131" s="24" t="s">
        <v>164</v>
      </c>
      <c r="B131" s="25" t="s">
        <v>407</v>
      </c>
      <c r="C131" s="24" t="s">
        <v>408</v>
      </c>
      <c r="D131" s="4" t="s">
        <v>213</v>
      </c>
      <c r="E131" s="4" t="s">
        <v>214</v>
      </c>
      <c r="F131" s="4" t="s">
        <v>215</v>
      </c>
      <c r="G131" s="30">
        <v>0.13</v>
      </c>
      <c r="H131" s="30">
        <v>15</v>
      </c>
      <c r="I131" s="6"/>
      <c r="J131" s="6"/>
      <c r="K131" s="3" t="s">
        <v>9</v>
      </c>
      <c r="L131" s="5">
        <f t="shared" si="10"/>
        <v>0.1105</v>
      </c>
      <c r="M131" s="5">
        <f t="shared" si="11"/>
        <v>0.14949999999999999</v>
      </c>
    </row>
    <row r="132" spans="1:13" x14ac:dyDescent="0.3">
      <c r="A132" s="24" t="s">
        <v>164</v>
      </c>
      <c r="B132" s="25" t="s">
        <v>407</v>
      </c>
      <c r="C132" s="24" t="s">
        <v>408</v>
      </c>
      <c r="D132" s="4" t="s">
        <v>217</v>
      </c>
      <c r="E132" s="4" t="s">
        <v>218</v>
      </c>
      <c r="F132" s="4" t="s">
        <v>219</v>
      </c>
      <c r="G132" s="30">
        <v>0.08</v>
      </c>
      <c r="H132" s="30">
        <v>10</v>
      </c>
      <c r="I132" s="6"/>
      <c r="J132" s="6"/>
      <c r="K132" s="3" t="s">
        <v>9</v>
      </c>
      <c r="L132" s="5">
        <f t="shared" si="10"/>
        <v>7.2000000000000008E-2</v>
      </c>
      <c r="M132" s="5">
        <f t="shared" si="11"/>
        <v>8.8000000000000009E-2</v>
      </c>
    </row>
    <row r="133" spans="1:13" x14ac:dyDescent="0.3">
      <c r="A133" s="24" t="s">
        <v>164</v>
      </c>
      <c r="B133" s="25" t="s">
        <v>407</v>
      </c>
      <c r="C133" s="24" t="s">
        <v>408</v>
      </c>
      <c r="D133" s="4" t="s">
        <v>221</v>
      </c>
      <c r="E133" s="4" t="s">
        <v>222</v>
      </c>
      <c r="F133" s="4" t="s">
        <v>219</v>
      </c>
      <c r="G133" s="30">
        <v>0.04</v>
      </c>
      <c r="H133" s="30">
        <v>10</v>
      </c>
      <c r="I133" s="6"/>
      <c r="J133" s="6"/>
      <c r="K133" s="3" t="s">
        <v>9</v>
      </c>
      <c r="L133" s="5">
        <f t="shared" si="10"/>
        <v>3.6000000000000004E-2</v>
      </c>
      <c r="M133" s="5">
        <f t="shared" si="11"/>
        <v>4.4000000000000004E-2</v>
      </c>
    </row>
    <row r="134" spans="1:13" x14ac:dyDescent="0.3">
      <c r="A134" s="24" t="s">
        <v>164</v>
      </c>
      <c r="B134" s="25" t="s">
        <v>407</v>
      </c>
      <c r="C134" s="24" t="s">
        <v>408</v>
      </c>
      <c r="D134" s="4" t="s">
        <v>223</v>
      </c>
      <c r="E134" s="4" t="s">
        <v>224</v>
      </c>
      <c r="F134" s="4" t="s">
        <v>225</v>
      </c>
      <c r="G134" s="30">
        <v>6.0000000000000001E-3</v>
      </c>
      <c r="H134" s="30"/>
      <c r="I134" s="6">
        <v>0</v>
      </c>
      <c r="J134" s="6">
        <v>2.7E-2</v>
      </c>
      <c r="K134" s="3" t="s">
        <v>9</v>
      </c>
      <c r="L134" s="5">
        <f t="shared" si="10"/>
        <v>0</v>
      </c>
      <c r="M134" s="5">
        <f t="shared" si="11"/>
        <v>2.7E-2</v>
      </c>
    </row>
    <row r="135" spans="1:13" x14ac:dyDescent="0.3">
      <c r="A135" s="24" t="s">
        <v>164</v>
      </c>
      <c r="B135" s="25" t="s">
        <v>407</v>
      </c>
      <c r="C135" s="24" t="s">
        <v>408</v>
      </c>
      <c r="D135" s="4" t="s">
        <v>227</v>
      </c>
      <c r="E135" s="4" t="s">
        <v>228</v>
      </c>
      <c r="F135" s="4" t="s">
        <v>225</v>
      </c>
      <c r="G135" s="31"/>
      <c r="H135" s="31"/>
      <c r="I135" s="6"/>
      <c r="J135" s="6"/>
      <c r="K135" s="3" t="s">
        <v>9</v>
      </c>
      <c r="L135" s="5" t="str">
        <f t="shared" si="10"/>
        <v/>
      </c>
      <c r="M135" s="5" t="str">
        <f t="shared" si="11"/>
        <v/>
      </c>
    </row>
    <row r="136" spans="1:13" x14ac:dyDescent="0.3">
      <c r="A136" s="24" t="s">
        <v>164</v>
      </c>
      <c r="B136" s="25" t="s">
        <v>407</v>
      </c>
      <c r="C136" s="24" t="s">
        <v>408</v>
      </c>
      <c r="D136" s="4" t="s">
        <v>230</v>
      </c>
      <c r="E136" s="4" t="s">
        <v>231</v>
      </c>
      <c r="F136" s="4" t="s">
        <v>219</v>
      </c>
      <c r="G136" s="31"/>
      <c r="H136" s="31"/>
      <c r="I136" s="6"/>
      <c r="J136" s="6"/>
      <c r="K136" s="3" t="s">
        <v>9</v>
      </c>
      <c r="L136" s="5" t="str">
        <f t="shared" si="10"/>
        <v/>
      </c>
      <c r="M136" s="5" t="str">
        <f t="shared" si="11"/>
        <v/>
      </c>
    </row>
    <row r="137" spans="1:13" x14ac:dyDescent="0.3">
      <c r="A137" s="24" t="s">
        <v>164</v>
      </c>
      <c r="B137" s="25" t="s">
        <v>407</v>
      </c>
      <c r="C137" s="24" t="s">
        <v>408</v>
      </c>
      <c r="D137" s="4" t="s">
        <v>233</v>
      </c>
      <c r="E137" s="4" t="s">
        <v>234</v>
      </c>
      <c r="F137" s="4" t="s">
        <v>225</v>
      </c>
      <c r="G137" s="30">
        <v>1.4E-2</v>
      </c>
      <c r="H137" s="30"/>
      <c r="I137" s="6">
        <v>1.0999999999999999E-2</v>
      </c>
      <c r="J137" s="6">
        <v>1.7000000000000001E-2</v>
      </c>
      <c r="K137" s="3" t="s">
        <v>9</v>
      </c>
      <c r="L137" s="5">
        <f t="shared" si="10"/>
        <v>1.0999999999999999E-2</v>
      </c>
      <c r="M137" s="5">
        <f t="shared" si="11"/>
        <v>1.7000000000000001E-2</v>
      </c>
    </row>
    <row r="138" spans="1:13" x14ac:dyDescent="0.3">
      <c r="A138" s="24" t="s">
        <v>164</v>
      </c>
      <c r="B138" s="25" t="s">
        <v>407</v>
      </c>
      <c r="C138" s="24" t="s">
        <v>408</v>
      </c>
      <c r="D138" s="4" t="s">
        <v>236</v>
      </c>
      <c r="E138" s="4" t="s">
        <v>237</v>
      </c>
      <c r="F138" s="4" t="s">
        <v>225</v>
      </c>
      <c r="G138" s="30">
        <v>1.0999999999999999E-2</v>
      </c>
      <c r="H138" s="30"/>
      <c r="I138" s="6">
        <v>0</v>
      </c>
      <c r="J138" s="6">
        <v>0.02</v>
      </c>
      <c r="K138" s="3" t="s">
        <v>9</v>
      </c>
      <c r="L138" s="5">
        <f t="shared" si="10"/>
        <v>0</v>
      </c>
      <c r="M138" s="5">
        <f t="shared" si="11"/>
        <v>0.02</v>
      </c>
    </row>
    <row r="139" spans="1:13" x14ac:dyDescent="0.3">
      <c r="A139" s="24" t="s">
        <v>164</v>
      </c>
      <c r="B139" s="25" t="s">
        <v>407</v>
      </c>
      <c r="C139" s="24" t="s">
        <v>408</v>
      </c>
      <c r="D139" s="4" t="s">
        <v>238</v>
      </c>
      <c r="E139" s="4" t="s">
        <v>239</v>
      </c>
      <c r="F139" s="4" t="s">
        <v>219</v>
      </c>
      <c r="G139" s="31"/>
      <c r="H139" s="31"/>
      <c r="I139" s="6"/>
      <c r="J139" s="6"/>
      <c r="K139" s="3" t="s">
        <v>12</v>
      </c>
      <c r="L139" s="5" t="str">
        <f t="shared" si="10"/>
        <v/>
      </c>
      <c r="M139" s="5" t="str">
        <f t="shared" si="11"/>
        <v/>
      </c>
    </row>
    <row r="140" spans="1:13" x14ac:dyDescent="0.3">
      <c r="A140" s="24" t="s">
        <v>164</v>
      </c>
      <c r="B140" s="25" t="s">
        <v>407</v>
      </c>
      <c r="C140" s="24" t="s">
        <v>408</v>
      </c>
      <c r="D140" s="4" t="s">
        <v>241</v>
      </c>
      <c r="E140" s="4" t="s">
        <v>242</v>
      </c>
      <c r="F140" s="4" t="s">
        <v>219</v>
      </c>
      <c r="G140" s="30">
        <v>0.21</v>
      </c>
      <c r="H140" s="30"/>
      <c r="I140" s="6">
        <v>0</v>
      </c>
      <c r="J140" s="6">
        <v>0.31</v>
      </c>
      <c r="K140" s="3" t="s">
        <v>9</v>
      </c>
      <c r="L140" s="5">
        <f t="shared" si="10"/>
        <v>0</v>
      </c>
      <c r="M140" s="5">
        <f t="shared" si="11"/>
        <v>0.31</v>
      </c>
    </row>
    <row r="141" spans="1:13" x14ac:dyDescent="0.3">
      <c r="A141" s="24" t="s">
        <v>164</v>
      </c>
      <c r="B141" s="25" t="s">
        <v>407</v>
      </c>
      <c r="C141" s="24" t="s">
        <v>408</v>
      </c>
      <c r="D141" s="4" t="s">
        <v>243</v>
      </c>
      <c r="E141" s="4" t="s">
        <v>244</v>
      </c>
      <c r="F141" s="4" t="s">
        <v>219</v>
      </c>
      <c r="G141" s="30">
        <v>0.24</v>
      </c>
      <c r="H141" s="30"/>
      <c r="I141" s="6">
        <v>0.01</v>
      </c>
      <c r="J141" s="6">
        <v>0.73</v>
      </c>
      <c r="K141" s="3" t="s">
        <v>9</v>
      </c>
      <c r="L141" s="5">
        <f t="shared" si="10"/>
        <v>0.01</v>
      </c>
      <c r="M141" s="5">
        <f t="shared" si="11"/>
        <v>0.73</v>
      </c>
    </row>
    <row r="142" spans="1:13" x14ac:dyDescent="0.3">
      <c r="A142" s="24" t="s">
        <v>164</v>
      </c>
      <c r="B142" s="25" t="s">
        <v>407</v>
      </c>
      <c r="C142" s="24" t="s">
        <v>408</v>
      </c>
      <c r="D142" s="4" t="s">
        <v>245</v>
      </c>
      <c r="E142" s="4" t="s">
        <v>246</v>
      </c>
      <c r="F142" s="4" t="s">
        <v>183</v>
      </c>
      <c r="G142" s="31">
        <v>0</v>
      </c>
      <c r="H142" s="31">
        <v>0</v>
      </c>
      <c r="I142" s="6"/>
      <c r="J142" s="6"/>
      <c r="K142" s="3" t="s">
        <v>4</v>
      </c>
      <c r="L142" s="5">
        <f t="shared" si="10"/>
        <v>0</v>
      </c>
      <c r="M142" s="5">
        <f t="shared" si="11"/>
        <v>0</v>
      </c>
    </row>
    <row r="143" spans="1:13" x14ac:dyDescent="0.3">
      <c r="A143" s="24" t="s">
        <v>164</v>
      </c>
      <c r="B143" s="25" t="s">
        <v>407</v>
      </c>
      <c r="C143" s="24" t="s">
        <v>408</v>
      </c>
      <c r="D143" s="4" t="s">
        <v>248</v>
      </c>
      <c r="E143" s="4" t="s">
        <v>249</v>
      </c>
      <c r="F143" s="4" t="s">
        <v>250</v>
      </c>
      <c r="G143" s="31">
        <v>20</v>
      </c>
      <c r="H143" s="31">
        <v>0</v>
      </c>
      <c r="I143" s="6"/>
      <c r="J143" s="6"/>
      <c r="K143" s="3" t="s">
        <v>4</v>
      </c>
      <c r="L143" s="5">
        <f t="shared" si="10"/>
        <v>20</v>
      </c>
      <c r="M143" s="5">
        <f t="shared" si="11"/>
        <v>20</v>
      </c>
    </row>
    <row r="144" spans="1:13" x14ac:dyDescent="0.3">
      <c r="A144" s="2"/>
      <c r="B144" s="2"/>
      <c r="C144" s="6"/>
      <c r="G144" s="2"/>
      <c r="H144" s="2"/>
      <c r="I144" s="6"/>
      <c r="J144" s="6"/>
      <c r="K144" s="3"/>
      <c r="L144" s="5" t="str">
        <f t="shared" si="10"/>
        <v/>
      </c>
      <c r="M144" s="5" t="str">
        <f t="shared" si="11"/>
        <v/>
      </c>
    </row>
    <row r="145" spans="1:13" x14ac:dyDescent="0.3">
      <c r="A145" s="2"/>
      <c r="B145" s="2"/>
      <c r="C145" s="6"/>
      <c r="G145" s="2"/>
      <c r="H145" s="2"/>
      <c r="I145" s="6"/>
      <c r="J145" s="6"/>
      <c r="K145" s="3"/>
      <c r="L145" s="5" t="str">
        <f t="shared" si="10"/>
        <v/>
      </c>
      <c r="M145" s="5" t="str">
        <f t="shared" si="11"/>
        <v/>
      </c>
    </row>
    <row r="146" spans="1:13" x14ac:dyDescent="0.3">
      <c r="A146" s="2"/>
      <c r="B146" s="2"/>
      <c r="C146" s="6"/>
      <c r="G146" s="2"/>
      <c r="H146" s="2"/>
      <c r="I146" s="6"/>
      <c r="J146" s="6"/>
      <c r="K146" s="3"/>
      <c r="L146" s="5" t="str">
        <f t="shared" si="10"/>
        <v/>
      </c>
      <c r="M146" s="5" t="str">
        <f t="shared" si="11"/>
        <v/>
      </c>
    </row>
    <row r="147" spans="1:13" x14ac:dyDescent="0.3">
      <c r="A147" s="2"/>
      <c r="B147" s="2"/>
      <c r="C147" s="6"/>
      <c r="G147" s="2"/>
      <c r="H147" s="2"/>
      <c r="I147" s="6"/>
      <c r="J147" s="6"/>
      <c r="K147" s="3"/>
      <c r="L147" s="5" t="str">
        <f t="shared" si="10"/>
        <v/>
      </c>
      <c r="M147" s="5" t="str">
        <f t="shared" si="11"/>
        <v/>
      </c>
    </row>
    <row r="148" spans="1:13" x14ac:dyDescent="0.3">
      <c r="A148" s="2"/>
      <c r="B148" s="2"/>
      <c r="C148" s="6"/>
      <c r="G148" s="2"/>
      <c r="H148" s="2"/>
      <c r="I148" s="6"/>
      <c r="J148" s="6"/>
      <c r="K148" s="3"/>
      <c r="L148" s="5" t="str">
        <f t="shared" si="10"/>
        <v/>
      </c>
      <c r="M148" s="5" t="str">
        <f t="shared" si="11"/>
        <v/>
      </c>
    </row>
    <row r="149" spans="1:13" x14ac:dyDescent="0.3">
      <c r="A149" s="2"/>
      <c r="B149" s="2"/>
      <c r="C149" s="6"/>
      <c r="G149" s="2"/>
      <c r="H149" s="2"/>
      <c r="I149" s="6"/>
      <c r="J149" s="6"/>
      <c r="K149" s="3"/>
      <c r="L149" s="5" t="str">
        <f t="shared" si="10"/>
        <v/>
      </c>
      <c r="M149" s="5" t="str">
        <f t="shared" si="11"/>
        <v/>
      </c>
    </row>
    <row r="150" spans="1:13" x14ac:dyDescent="0.3">
      <c r="A150" s="2"/>
      <c r="B150" s="2"/>
      <c r="C150" s="6"/>
      <c r="G150" s="2"/>
      <c r="H150" s="2"/>
      <c r="I150" s="6"/>
      <c r="J150" s="6"/>
      <c r="K150" s="3"/>
      <c r="L150" s="5" t="str">
        <f t="shared" si="10"/>
        <v/>
      </c>
      <c r="M150" s="5" t="str">
        <f t="shared" si="11"/>
        <v/>
      </c>
    </row>
    <row r="151" spans="1:13" x14ac:dyDescent="0.3">
      <c r="A151" s="2"/>
      <c r="B151" s="2"/>
      <c r="C151" s="6"/>
      <c r="G151" s="2"/>
      <c r="H151" s="2"/>
      <c r="I151" s="6"/>
      <c r="J151" s="6"/>
      <c r="K151" s="3"/>
      <c r="L151" s="5" t="str">
        <f t="shared" si="10"/>
        <v/>
      </c>
      <c r="M151" s="5" t="str">
        <f t="shared" si="11"/>
        <v/>
      </c>
    </row>
    <row r="152" spans="1:13" x14ac:dyDescent="0.3">
      <c r="A152" s="2"/>
      <c r="B152" s="2"/>
      <c r="C152" s="6"/>
      <c r="G152" s="2"/>
      <c r="H152" s="2"/>
      <c r="I152" s="6"/>
      <c r="J152" s="6"/>
      <c r="K152" s="3"/>
      <c r="L152" s="5" t="str">
        <f t="shared" si="10"/>
        <v/>
      </c>
      <c r="M152" s="5" t="str">
        <f t="shared" si="11"/>
        <v/>
      </c>
    </row>
    <row r="153" spans="1:13" x14ac:dyDescent="0.3">
      <c r="A153" s="2"/>
      <c r="B153" s="2"/>
      <c r="C153" s="6"/>
      <c r="G153" s="2"/>
      <c r="H153" s="2"/>
      <c r="I153" s="6"/>
      <c r="J153" s="6"/>
      <c r="K153" s="3"/>
      <c r="L153" s="5" t="str">
        <f t="shared" si="10"/>
        <v/>
      </c>
      <c r="M153" s="5" t="str">
        <f t="shared" si="11"/>
        <v/>
      </c>
    </row>
    <row r="154" spans="1:13" x14ac:dyDescent="0.3">
      <c r="A154" s="2"/>
      <c r="B154" s="2"/>
      <c r="C154" s="6"/>
      <c r="G154" s="2"/>
      <c r="H154" s="2"/>
      <c r="I154" s="6"/>
      <c r="J154" s="6"/>
      <c r="K154" s="3"/>
      <c r="L154" s="5" t="str">
        <f t="shared" si="10"/>
        <v/>
      </c>
      <c r="M154" s="5" t="str">
        <f t="shared" si="11"/>
        <v/>
      </c>
    </row>
    <row r="155" spans="1:13" x14ac:dyDescent="0.3">
      <c r="A155" s="2"/>
      <c r="B155" s="2"/>
      <c r="C155" s="6"/>
      <c r="G155" s="2"/>
      <c r="H155" s="2"/>
      <c r="I155" s="6"/>
      <c r="J155" s="6"/>
      <c r="K155" s="3"/>
      <c r="L155" s="5" t="str">
        <f t="shared" si="10"/>
        <v/>
      </c>
      <c r="M155" s="5" t="str">
        <f t="shared" si="11"/>
        <v/>
      </c>
    </row>
    <row r="156" spans="1:13" x14ac:dyDescent="0.3">
      <c r="A156" s="2"/>
      <c r="B156" s="2"/>
      <c r="C156" s="6"/>
      <c r="G156" s="2"/>
      <c r="H156" s="2"/>
      <c r="I156" s="6"/>
      <c r="J156" s="6"/>
      <c r="K156" s="3"/>
      <c r="L156" s="5" t="str">
        <f t="shared" si="10"/>
        <v/>
      </c>
      <c r="M156" s="5" t="str">
        <f t="shared" si="11"/>
        <v/>
      </c>
    </row>
    <row r="157" spans="1:13" x14ac:dyDescent="0.3">
      <c r="A157" s="2"/>
      <c r="B157" s="2"/>
      <c r="C157" s="6"/>
      <c r="G157" s="2"/>
      <c r="H157" s="2"/>
      <c r="I157" s="6"/>
      <c r="J157" s="6"/>
      <c r="K157" s="3"/>
      <c r="L157" s="5" t="str">
        <f t="shared" si="10"/>
        <v/>
      </c>
      <c r="M157" s="5" t="str">
        <f t="shared" si="11"/>
        <v/>
      </c>
    </row>
    <row r="158" spans="1:13" x14ac:dyDescent="0.3">
      <c r="A158" s="2"/>
      <c r="B158" s="2"/>
      <c r="C158" s="6"/>
      <c r="G158" s="2"/>
      <c r="H158" s="2"/>
      <c r="I158" s="6"/>
      <c r="J158" s="6"/>
      <c r="K158" s="3"/>
      <c r="L158" s="5" t="str">
        <f t="shared" si="10"/>
        <v/>
      </c>
      <c r="M158" s="5" t="str">
        <f t="shared" si="11"/>
        <v/>
      </c>
    </row>
    <row r="159" spans="1:13" x14ac:dyDescent="0.3">
      <c r="A159" s="2"/>
      <c r="B159" s="2"/>
      <c r="C159" s="6"/>
      <c r="G159" s="2"/>
      <c r="H159" s="2"/>
      <c r="I159" s="6"/>
      <c r="J159" s="6"/>
      <c r="K159" s="3"/>
      <c r="L159" s="5" t="str">
        <f t="shared" ref="L159:L190" si="12">IF(I159&lt;&gt;"",I159,IF(AND(G159&lt;&gt;"",H159&lt;&gt;""),G159*(1-H159/100),""))</f>
        <v/>
      </c>
      <c r="M159" s="5" t="str">
        <f t="shared" ref="M159:M190" si="13">IF(J159&lt;&gt;"",J159,IF(AND(G159&lt;&gt;"",H159&lt;&gt;""),G159*(1+H159/100),""))</f>
        <v/>
      </c>
    </row>
    <row r="160" spans="1:13" x14ac:dyDescent="0.3">
      <c r="A160" s="2"/>
      <c r="B160" s="2"/>
      <c r="C160" s="6"/>
      <c r="G160" s="2"/>
      <c r="H160" s="2"/>
      <c r="I160" s="6"/>
      <c r="J160" s="6"/>
      <c r="K160" s="3"/>
      <c r="L160" s="5" t="str">
        <f t="shared" si="12"/>
        <v/>
      </c>
      <c r="M160" s="5" t="str">
        <f t="shared" si="13"/>
        <v/>
      </c>
    </row>
    <row r="161" spans="1:13" x14ac:dyDescent="0.3">
      <c r="A161" s="2"/>
      <c r="B161" s="2"/>
      <c r="C161" s="6"/>
      <c r="G161" s="2"/>
      <c r="H161" s="2"/>
      <c r="I161" s="6"/>
      <c r="J161" s="6"/>
      <c r="K161" s="3"/>
      <c r="L161" s="5" t="str">
        <f t="shared" si="12"/>
        <v/>
      </c>
      <c r="M161" s="5" t="str">
        <f t="shared" si="13"/>
        <v/>
      </c>
    </row>
    <row r="162" spans="1:13" x14ac:dyDescent="0.3">
      <c r="A162" s="2"/>
      <c r="B162" s="2"/>
      <c r="C162" s="6"/>
      <c r="G162" s="2"/>
      <c r="H162" s="2"/>
      <c r="I162" s="6"/>
      <c r="J162" s="6"/>
      <c r="K162" s="3"/>
      <c r="L162" s="5" t="str">
        <f t="shared" si="12"/>
        <v/>
      </c>
      <c r="M162" s="5" t="str">
        <f t="shared" si="13"/>
        <v/>
      </c>
    </row>
    <row r="163" spans="1:13" x14ac:dyDescent="0.3">
      <c r="A163" s="2"/>
      <c r="B163" s="2"/>
      <c r="C163" s="6"/>
      <c r="G163" s="2"/>
      <c r="H163" s="2"/>
      <c r="I163" s="6"/>
      <c r="J163" s="6"/>
      <c r="K163" s="3"/>
      <c r="L163" s="5" t="str">
        <f t="shared" si="12"/>
        <v/>
      </c>
      <c r="M163" s="5" t="str">
        <f t="shared" si="13"/>
        <v/>
      </c>
    </row>
    <row r="164" spans="1:13" x14ac:dyDescent="0.3">
      <c r="A164" s="2"/>
      <c r="B164" s="2"/>
      <c r="C164" s="6"/>
      <c r="G164" s="2"/>
      <c r="H164" s="2"/>
      <c r="I164" s="6"/>
      <c r="J164" s="6"/>
      <c r="K164" s="3"/>
      <c r="L164" s="5" t="str">
        <f t="shared" si="12"/>
        <v/>
      </c>
      <c r="M164" s="5" t="str">
        <f t="shared" si="13"/>
        <v/>
      </c>
    </row>
    <row r="165" spans="1:13" x14ac:dyDescent="0.3">
      <c r="A165" s="2"/>
      <c r="B165" s="2"/>
      <c r="C165" s="6"/>
      <c r="G165" s="2"/>
      <c r="H165" s="2"/>
      <c r="I165" s="6"/>
      <c r="J165" s="6"/>
      <c r="K165" s="3"/>
      <c r="L165" s="5" t="str">
        <f t="shared" si="12"/>
        <v/>
      </c>
      <c r="M165" s="5" t="str">
        <f t="shared" si="13"/>
        <v/>
      </c>
    </row>
    <row r="166" spans="1:13" x14ac:dyDescent="0.3">
      <c r="A166" s="2"/>
      <c r="B166" s="2"/>
      <c r="C166" s="6"/>
      <c r="G166" s="2"/>
      <c r="H166" s="2"/>
      <c r="I166" s="6"/>
      <c r="J166" s="6"/>
      <c r="K166" s="3"/>
      <c r="L166" s="5" t="str">
        <f t="shared" si="12"/>
        <v/>
      </c>
      <c r="M166" s="5" t="str">
        <f t="shared" si="13"/>
        <v/>
      </c>
    </row>
    <row r="167" spans="1:13" x14ac:dyDescent="0.3">
      <c r="A167" s="2"/>
      <c r="B167" s="2"/>
      <c r="C167" s="6"/>
      <c r="G167" s="2"/>
      <c r="H167" s="2"/>
      <c r="I167" s="6"/>
      <c r="J167" s="6"/>
      <c r="K167" s="3"/>
      <c r="L167" s="5" t="str">
        <f t="shared" si="12"/>
        <v/>
      </c>
      <c r="M167" s="5" t="str">
        <f t="shared" si="13"/>
        <v/>
      </c>
    </row>
    <row r="168" spans="1:13" x14ac:dyDescent="0.3">
      <c r="A168" s="2"/>
      <c r="B168" s="2"/>
      <c r="C168" s="6"/>
      <c r="G168" s="2"/>
      <c r="H168" s="2"/>
      <c r="I168" s="6"/>
      <c r="J168" s="6"/>
      <c r="K168" s="3"/>
      <c r="L168" s="5" t="str">
        <f t="shared" si="12"/>
        <v/>
      </c>
      <c r="M168" s="5" t="str">
        <f t="shared" si="13"/>
        <v/>
      </c>
    </row>
    <row r="169" spans="1:13" x14ac:dyDescent="0.3">
      <c r="A169" s="2"/>
      <c r="B169" s="2"/>
      <c r="C169" s="6"/>
      <c r="G169" s="2"/>
      <c r="H169" s="2"/>
      <c r="I169" s="6"/>
      <c r="J169" s="6"/>
      <c r="K169" s="3"/>
      <c r="L169" s="5" t="str">
        <f t="shared" si="12"/>
        <v/>
      </c>
      <c r="M169" s="5" t="str">
        <f t="shared" si="13"/>
        <v/>
      </c>
    </row>
    <row r="170" spans="1:13" x14ac:dyDescent="0.3">
      <c r="A170" s="2"/>
      <c r="B170" s="2"/>
      <c r="C170" s="6"/>
      <c r="G170" s="2"/>
      <c r="H170" s="2"/>
      <c r="I170" s="6"/>
      <c r="J170" s="6"/>
      <c r="K170" s="3"/>
      <c r="L170" s="5" t="str">
        <f t="shared" si="12"/>
        <v/>
      </c>
      <c r="M170" s="5" t="str">
        <f t="shared" si="13"/>
        <v/>
      </c>
    </row>
    <row r="171" spans="1:13" x14ac:dyDescent="0.3">
      <c r="A171" s="2"/>
      <c r="B171" s="2"/>
      <c r="C171" s="6"/>
      <c r="G171" s="2"/>
      <c r="H171" s="2"/>
      <c r="I171" s="6"/>
      <c r="J171" s="6"/>
      <c r="K171" s="3"/>
      <c r="L171" s="5" t="str">
        <f t="shared" si="12"/>
        <v/>
      </c>
      <c r="M171" s="5" t="str">
        <f t="shared" si="13"/>
        <v/>
      </c>
    </row>
    <row r="172" spans="1:13" x14ac:dyDescent="0.3">
      <c r="A172" s="2"/>
      <c r="B172" s="2"/>
      <c r="C172" s="6"/>
      <c r="G172" s="2"/>
      <c r="H172" s="2"/>
      <c r="I172" s="6"/>
      <c r="J172" s="6"/>
      <c r="K172" s="3"/>
      <c r="L172" s="5" t="str">
        <f t="shared" si="12"/>
        <v/>
      </c>
      <c r="M172" s="5" t="str">
        <f t="shared" si="13"/>
        <v/>
      </c>
    </row>
    <row r="173" spans="1:13" x14ac:dyDescent="0.3">
      <c r="A173" s="2"/>
      <c r="B173" s="2"/>
      <c r="C173" s="6"/>
      <c r="G173" s="2"/>
      <c r="H173" s="2"/>
      <c r="I173" s="6"/>
      <c r="J173" s="6"/>
      <c r="K173" s="3"/>
      <c r="L173" s="5" t="str">
        <f t="shared" si="12"/>
        <v/>
      </c>
      <c r="M173" s="5" t="str">
        <f t="shared" si="13"/>
        <v/>
      </c>
    </row>
    <row r="174" spans="1:13" x14ac:dyDescent="0.3">
      <c r="A174" s="2"/>
      <c r="B174" s="2"/>
      <c r="C174" s="6"/>
      <c r="G174" s="2"/>
      <c r="H174" s="2"/>
      <c r="I174" s="6"/>
      <c r="J174" s="6"/>
      <c r="K174" s="3"/>
      <c r="L174" s="5" t="str">
        <f t="shared" si="12"/>
        <v/>
      </c>
      <c r="M174" s="5" t="str">
        <f t="shared" si="13"/>
        <v/>
      </c>
    </row>
    <row r="175" spans="1:13" x14ac:dyDescent="0.3">
      <c r="A175" s="2"/>
      <c r="B175" s="2"/>
      <c r="C175" s="6"/>
      <c r="G175" s="2"/>
      <c r="H175" s="2"/>
      <c r="I175" s="6"/>
      <c r="J175" s="6"/>
      <c r="K175" s="3"/>
      <c r="L175" s="5" t="str">
        <f t="shared" si="12"/>
        <v/>
      </c>
      <c r="M175" s="5" t="str">
        <f t="shared" si="13"/>
        <v/>
      </c>
    </row>
    <row r="176" spans="1:13" x14ac:dyDescent="0.3">
      <c r="A176" s="2"/>
      <c r="B176" s="2"/>
      <c r="C176" s="6"/>
      <c r="G176" s="2"/>
      <c r="H176" s="2"/>
      <c r="I176" s="6"/>
      <c r="J176" s="6"/>
      <c r="K176" s="3"/>
      <c r="L176" s="5" t="str">
        <f t="shared" si="12"/>
        <v/>
      </c>
      <c r="M176" s="5" t="str">
        <f t="shared" si="13"/>
        <v/>
      </c>
    </row>
    <row r="177" spans="1:13" x14ac:dyDescent="0.3">
      <c r="A177" s="2"/>
      <c r="B177" s="2"/>
      <c r="C177" s="6"/>
      <c r="G177" s="2"/>
      <c r="H177" s="2"/>
      <c r="I177" s="6"/>
      <c r="J177" s="6"/>
      <c r="K177" s="3"/>
      <c r="L177" s="5" t="str">
        <f t="shared" si="12"/>
        <v/>
      </c>
      <c r="M177" s="5" t="str">
        <f t="shared" si="13"/>
        <v/>
      </c>
    </row>
    <row r="178" spans="1:13" x14ac:dyDescent="0.3">
      <c r="A178" s="2"/>
      <c r="B178" s="2"/>
      <c r="C178" s="6"/>
      <c r="G178" s="2"/>
      <c r="H178" s="2"/>
      <c r="I178" s="6"/>
      <c r="J178" s="6"/>
      <c r="K178" s="3"/>
      <c r="L178" s="5" t="str">
        <f t="shared" si="12"/>
        <v/>
      </c>
      <c r="M178" s="5" t="str">
        <f t="shared" si="13"/>
        <v/>
      </c>
    </row>
    <row r="179" spans="1:13" x14ac:dyDescent="0.3">
      <c r="A179" s="2"/>
      <c r="B179" s="2"/>
      <c r="C179" s="6"/>
      <c r="G179" s="2"/>
      <c r="H179" s="2"/>
      <c r="I179" s="6"/>
      <c r="J179" s="6"/>
      <c r="K179" s="3"/>
      <c r="L179" s="5" t="str">
        <f t="shared" si="12"/>
        <v/>
      </c>
      <c r="M179" s="5" t="str">
        <f t="shared" si="13"/>
        <v/>
      </c>
    </row>
    <row r="180" spans="1:13" x14ac:dyDescent="0.3">
      <c r="A180" s="2"/>
      <c r="B180" s="2"/>
      <c r="C180" s="6"/>
      <c r="G180" s="2"/>
      <c r="H180" s="2"/>
      <c r="I180" s="6"/>
      <c r="J180" s="6"/>
      <c r="K180" s="3"/>
      <c r="L180" s="5" t="str">
        <f t="shared" si="12"/>
        <v/>
      </c>
      <c r="M180" s="5" t="str">
        <f t="shared" si="13"/>
        <v/>
      </c>
    </row>
    <row r="181" spans="1:13" x14ac:dyDescent="0.3">
      <c r="A181" s="2"/>
      <c r="B181" s="2"/>
      <c r="C181" s="6"/>
      <c r="G181" s="2"/>
      <c r="H181" s="2"/>
      <c r="I181" s="6"/>
      <c r="J181" s="6"/>
      <c r="K181" s="3"/>
      <c r="L181" s="5" t="str">
        <f t="shared" si="12"/>
        <v/>
      </c>
      <c r="M181" s="5" t="str">
        <f t="shared" si="13"/>
        <v/>
      </c>
    </row>
    <row r="182" spans="1:13" x14ac:dyDescent="0.3">
      <c r="A182" s="2"/>
      <c r="B182" s="2"/>
      <c r="C182" s="6"/>
      <c r="G182" s="2"/>
      <c r="H182" s="2"/>
      <c r="I182" s="6"/>
      <c r="J182" s="6"/>
      <c r="K182" s="3"/>
      <c r="L182" s="5" t="str">
        <f t="shared" si="12"/>
        <v/>
      </c>
      <c r="M182" s="5" t="str">
        <f t="shared" si="13"/>
        <v/>
      </c>
    </row>
    <row r="183" spans="1:13" x14ac:dyDescent="0.3">
      <c r="A183" s="2"/>
      <c r="B183" s="2"/>
      <c r="C183" s="6"/>
      <c r="G183" s="2"/>
      <c r="H183" s="2"/>
      <c r="I183" s="6"/>
      <c r="J183" s="6"/>
      <c r="K183" s="3"/>
      <c r="L183" s="5" t="str">
        <f t="shared" si="12"/>
        <v/>
      </c>
      <c r="M183" s="5" t="str">
        <f t="shared" si="13"/>
        <v/>
      </c>
    </row>
    <row r="184" spans="1:13" x14ac:dyDescent="0.3">
      <c r="A184" s="2"/>
      <c r="B184" s="2"/>
      <c r="C184" s="6"/>
      <c r="G184" s="2"/>
      <c r="H184" s="2"/>
      <c r="I184" s="6"/>
      <c r="J184" s="6"/>
      <c r="K184" s="3"/>
      <c r="L184" s="5" t="str">
        <f t="shared" si="12"/>
        <v/>
      </c>
      <c r="M184" s="5" t="str">
        <f t="shared" si="13"/>
        <v/>
      </c>
    </row>
    <row r="185" spans="1:13" x14ac:dyDescent="0.3">
      <c r="A185" s="2"/>
      <c r="B185" s="2"/>
      <c r="C185" s="6"/>
      <c r="G185" s="2"/>
      <c r="H185" s="2"/>
      <c r="I185" s="6"/>
      <c r="J185" s="6"/>
      <c r="K185" s="3"/>
      <c r="L185" s="5" t="str">
        <f t="shared" si="12"/>
        <v/>
      </c>
      <c r="M185" s="5" t="str">
        <f t="shared" si="13"/>
        <v/>
      </c>
    </row>
    <row r="186" spans="1:13" x14ac:dyDescent="0.3">
      <c r="A186" s="2"/>
      <c r="B186" s="2"/>
      <c r="C186" s="6"/>
      <c r="G186" s="2"/>
      <c r="H186" s="2"/>
      <c r="I186" s="6"/>
      <c r="J186" s="6"/>
      <c r="K186" s="3"/>
      <c r="L186" s="5" t="str">
        <f t="shared" si="12"/>
        <v/>
      </c>
      <c r="M186" s="5" t="str">
        <f t="shared" si="13"/>
        <v/>
      </c>
    </row>
    <row r="187" spans="1:13" x14ac:dyDescent="0.3">
      <c r="A187" s="2"/>
      <c r="B187" s="2"/>
      <c r="C187" s="6"/>
      <c r="G187" s="2"/>
      <c r="H187" s="2"/>
      <c r="I187" s="6"/>
      <c r="J187" s="6"/>
      <c r="K187" s="3"/>
      <c r="L187" s="5" t="str">
        <f t="shared" si="12"/>
        <v/>
      </c>
      <c r="M187" s="5" t="str">
        <f t="shared" si="13"/>
        <v/>
      </c>
    </row>
    <row r="188" spans="1:13" x14ac:dyDescent="0.3">
      <c r="A188" s="2"/>
      <c r="B188" s="2"/>
      <c r="C188" s="6"/>
      <c r="G188" s="2"/>
      <c r="H188" s="2"/>
      <c r="I188" s="6"/>
      <c r="J188" s="6"/>
      <c r="K188" s="3"/>
      <c r="L188" s="5" t="str">
        <f t="shared" si="12"/>
        <v/>
      </c>
      <c r="M188" s="5" t="str">
        <f t="shared" si="13"/>
        <v/>
      </c>
    </row>
    <row r="189" spans="1:13" x14ac:dyDescent="0.3">
      <c r="A189" s="2"/>
      <c r="B189" s="2"/>
      <c r="C189" s="6"/>
      <c r="G189" s="2"/>
      <c r="H189" s="2"/>
      <c r="I189" s="6"/>
      <c r="J189" s="6"/>
      <c r="K189" s="3"/>
      <c r="L189" s="5" t="str">
        <f t="shared" si="12"/>
        <v/>
      </c>
      <c r="M189" s="5" t="str">
        <f t="shared" si="13"/>
        <v/>
      </c>
    </row>
    <row r="190" spans="1:13" x14ac:dyDescent="0.3">
      <c r="A190" s="2"/>
      <c r="B190" s="2"/>
      <c r="C190" s="6"/>
      <c r="G190" s="2"/>
      <c r="H190" s="2"/>
      <c r="I190" s="6"/>
      <c r="J190" s="6"/>
      <c r="K190" s="3"/>
      <c r="L190" s="5" t="str">
        <f t="shared" si="12"/>
        <v/>
      </c>
      <c r="M190" s="5" t="str">
        <f t="shared" si="13"/>
        <v/>
      </c>
    </row>
    <row r="191" spans="1:13" x14ac:dyDescent="0.3">
      <c r="A191" s="2"/>
      <c r="B191" s="2"/>
      <c r="C191" s="6"/>
      <c r="G191" s="2"/>
      <c r="H191" s="2"/>
      <c r="I191" s="6"/>
      <c r="J191" s="6"/>
      <c r="K191" s="3"/>
      <c r="L191" s="5" t="str">
        <f t="shared" ref="L191:L203" si="14">IF(I191&lt;&gt;"",I191,IF(AND(G191&lt;&gt;"",H191&lt;&gt;""),G191*(1-H191/100),""))</f>
        <v/>
      </c>
      <c r="M191" s="5" t="str">
        <f t="shared" ref="M191:M203" si="15">IF(J191&lt;&gt;"",J191,IF(AND(G191&lt;&gt;"",H191&lt;&gt;""),G191*(1+H191/100),""))</f>
        <v/>
      </c>
    </row>
    <row r="192" spans="1:13" x14ac:dyDescent="0.3">
      <c r="A192" s="2"/>
      <c r="B192" s="2"/>
      <c r="C192" s="6"/>
      <c r="G192" s="2"/>
      <c r="H192" s="2"/>
      <c r="I192" s="6"/>
      <c r="J192" s="6"/>
      <c r="K192" s="3"/>
      <c r="L192" s="5" t="str">
        <f t="shared" si="14"/>
        <v/>
      </c>
      <c r="M192" s="5" t="str">
        <f t="shared" si="15"/>
        <v/>
      </c>
    </row>
    <row r="193" spans="1:13" x14ac:dyDescent="0.3">
      <c r="A193" s="2"/>
      <c r="B193" s="2"/>
      <c r="C193" s="6"/>
      <c r="G193" s="2"/>
      <c r="H193" s="2"/>
      <c r="I193" s="6"/>
      <c r="J193" s="6"/>
      <c r="K193" s="3"/>
      <c r="L193" s="5" t="str">
        <f t="shared" si="14"/>
        <v/>
      </c>
      <c r="M193" s="5" t="str">
        <f t="shared" si="15"/>
        <v/>
      </c>
    </row>
    <row r="194" spans="1:13" x14ac:dyDescent="0.3">
      <c r="A194" s="2"/>
      <c r="B194" s="2"/>
      <c r="C194" s="6"/>
      <c r="G194" s="2"/>
      <c r="H194" s="2"/>
      <c r="I194" s="6"/>
      <c r="J194" s="6"/>
      <c r="K194" s="3"/>
      <c r="L194" s="5" t="str">
        <f t="shared" si="14"/>
        <v/>
      </c>
      <c r="M194" s="5" t="str">
        <f t="shared" si="15"/>
        <v/>
      </c>
    </row>
    <row r="195" spans="1:13" x14ac:dyDescent="0.3">
      <c r="A195" s="2"/>
      <c r="B195" s="2"/>
      <c r="C195" s="6"/>
      <c r="G195" s="2"/>
      <c r="H195" s="2"/>
      <c r="I195" s="6"/>
      <c r="J195" s="6"/>
      <c r="K195" s="3"/>
      <c r="L195" s="5" t="str">
        <f t="shared" si="14"/>
        <v/>
      </c>
      <c r="M195" s="5" t="str">
        <f t="shared" si="15"/>
        <v/>
      </c>
    </row>
    <row r="196" spans="1:13" x14ac:dyDescent="0.3">
      <c r="A196" s="2"/>
      <c r="B196" s="2"/>
      <c r="C196" s="6"/>
      <c r="G196" s="2"/>
      <c r="H196" s="2"/>
      <c r="I196" s="6"/>
      <c r="J196" s="6"/>
      <c r="K196" s="3"/>
      <c r="L196" s="5" t="str">
        <f t="shared" si="14"/>
        <v/>
      </c>
      <c r="M196" s="5" t="str">
        <f t="shared" si="15"/>
        <v/>
      </c>
    </row>
    <row r="197" spans="1:13" x14ac:dyDescent="0.3">
      <c r="A197" s="2"/>
      <c r="B197" s="2"/>
      <c r="C197" s="6"/>
      <c r="G197" s="2"/>
      <c r="H197" s="2"/>
      <c r="I197" s="6"/>
      <c r="J197" s="6"/>
      <c r="K197" s="3"/>
      <c r="L197" s="5" t="str">
        <f t="shared" si="14"/>
        <v/>
      </c>
      <c r="M197" s="5" t="str">
        <f t="shared" si="15"/>
        <v/>
      </c>
    </row>
    <row r="198" spans="1:13" x14ac:dyDescent="0.3">
      <c r="A198" s="2"/>
      <c r="B198" s="2"/>
      <c r="C198" s="6"/>
      <c r="G198" s="2"/>
      <c r="H198" s="2"/>
      <c r="I198" s="6"/>
      <c r="J198" s="6"/>
      <c r="K198" s="3"/>
      <c r="L198" s="5" t="str">
        <f t="shared" si="14"/>
        <v/>
      </c>
      <c r="M198" s="5" t="str">
        <f t="shared" si="15"/>
        <v/>
      </c>
    </row>
    <row r="199" spans="1:13" x14ac:dyDescent="0.3">
      <c r="A199" s="2"/>
      <c r="B199" s="2"/>
      <c r="C199" s="6"/>
      <c r="G199" s="2"/>
      <c r="H199" s="2"/>
      <c r="I199" s="6"/>
      <c r="J199" s="6"/>
      <c r="K199" s="3"/>
      <c r="L199" s="5" t="str">
        <f t="shared" si="14"/>
        <v/>
      </c>
      <c r="M199" s="5" t="str">
        <f t="shared" si="15"/>
        <v/>
      </c>
    </row>
    <row r="200" spans="1:13" x14ac:dyDescent="0.3">
      <c r="A200" s="2"/>
      <c r="B200" s="2"/>
      <c r="C200" s="6"/>
      <c r="G200" s="2"/>
      <c r="H200" s="2"/>
      <c r="I200" s="6"/>
      <c r="J200" s="6"/>
      <c r="K200" s="3"/>
      <c r="L200" s="5" t="str">
        <f t="shared" si="14"/>
        <v/>
      </c>
      <c r="M200" s="5" t="str">
        <f t="shared" si="15"/>
        <v/>
      </c>
    </row>
    <row r="201" spans="1:13" x14ac:dyDescent="0.3">
      <c r="A201" s="2"/>
      <c r="B201" s="2"/>
      <c r="C201" s="6"/>
      <c r="G201" s="2"/>
      <c r="H201" s="2"/>
      <c r="I201" s="6"/>
      <c r="J201" s="6"/>
      <c r="K201" s="3"/>
      <c r="L201" s="5" t="str">
        <f t="shared" si="14"/>
        <v/>
      </c>
      <c r="M201" s="5" t="str">
        <f t="shared" si="15"/>
        <v/>
      </c>
    </row>
    <row r="202" spans="1:13" x14ac:dyDescent="0.3">
      <c r="A202" s="2"/>
      <c r="B202" s="2"/>
      <c r="C202" s="6"/>
      <c r="G202" s="2"/>
      <c r="H202" s="2"/>
      <c r="I202" s="6"/>
      <c r="J202" s="6"/>
      <c r="K202" s="3"/>
      <c r="L202" s="5" t="str">
        <f t="shared" si="14"/>
        <v/>
      </c>
      <c r="M202" s="5" t="str">
        <f t="shared" si="15"/>
        <v/>
      </c>
    </row>
    <row r="203" spans="1:13" x14ac:dyDescent="0.3">
      <c r="A203" s="2"/>
      <c r="B203" s="2"/>
      <c r="C203" s="6"/>
      <c r="G203" s="2"/>
      <c r="H203" s="2"/>
      <c r="I203" s="6"/>
      <c r="J203" s="6"/>
      <c r="K203" s="3"/>
      <c r="L203" s="5" t="str">
        <f t="shared" si="14"/>
        <v/>
      </c>
      <c r="M203" s="5" t="str">
        <f t="shared" si="15"/>
        <v/>
      </c>
    </row>
  </sheetData>
  <autoFilter ref="G1:G203" xr:uid="{00000000-0001-0000-0300-000000000000}"/>
  <mergeCells count="1">
    <mergeCell ref="A1:P1"/>
  </mergeCells>
  <conditionalFormatting sqref="G4:G203">
    <cfRule type="expression" dxfId="3" priority="4">
      <formula>AND(G4="",A4&lt;&gt;"")</formula>
    </cfRule>
  </conditionalFormatting>
  <conditionalFormatting sqref="H4:H203">
    <cfRule type="expression" dxfId="2" priority="3">
      <formula>H4&gt;100</formula>
    </cfRule>
  </conditionalFormatting>
  <conditionalFormatting sqref="I4:I203">
    <cfRule type="expression" dxfId="1" priority="2">
      <formula>AND(I4&lt;&gt;"",J4&lt;&gt;"",I4&gt;=J4)</formula>
    </cfRule>
  </conditionalFormatting>
  <conditionalFormatting sqref="J4:J203">
    <cfRule type="expression" dxfId="0" priority="1">
      <formula>AND(I4&lt;&gt;"",J4&lt;&gt;"",I4&gt;=J4)</formula>
    </cfRule>
  </conditionalFormatting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_Lists!$B$2:$B$10</xm:f>
          </x14:formula1>
          <xm:sqref>K4:K203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B4332"/>
  </sheetPr>
  <dimension ref="A1:U100"/>
  <sheetViews>
    <sheetView topLeftCell="D1" zoomScale="80" zoomScaleNormal="80" workbookViewId="0">
      <pane ySplit="3" topLeftCell="A11" activePane="bottomLeft" state="frozen"/>
      <selection pane="bottomLeft" activeCell="R41" sqref="R41"/>
    </sheetView>
  </sheetViews>
  <sheetFormatPr defaultColWidth="11.5546875" defaultRowHeight="13.8" x14ac:dyDescent="0.3"/>
  <cols>
    <col min="1" max="1" width="14.6640625" customWidth="1"/>
    <col min="2" max="2" width="20.6640625" customWidth="1"/>
    <col min="3" max="3" width="16.6640625" customWidth="1"/>
    <col min="4" max="4" width="18.6640625" customWidth="1"/>
    <col min="5" max="5" width="12.6640625" customWidth="1"/>
    <col min="6" max="8" width="10.6640625" customWidth="1"/>
    <col min="9" max="9" width="15.6640625" customWidth="1"/>
    <col min="10" max="12" width="10.6640625" customWidth="1"/>
    <col min="13" max="13" width="15.6640625" customWidth="1"/>
    <col min="14" max="14" width="14.6640625" customWidth="1"/>
    <col min="15" max="16" width="12.6640625" customWidth="1"/>
    <col min="17" max="17" width="18.6640625" customWidth="1"/>
    <col min="18" max="18" width="14.6640625" customWidth="1"/>
    <col min="19" max="20" width="12.6640625" customWidth="1"/>
    <col min="21" max="21" width="18.6640625" customWidth="1"/>
  </cols>
  <sheetData>
    <row r="1" spans="1:21" ht="43.95" customHeight="1" x14ac:dyDescent="0.3">
      <c r="A1" s="21" t="s">
        <v>252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2" spans="1:21" ht="27.6" x14ac:dyDescent="0.3">
      <c r="A2" s="1" t="s">
        <v>148</v>
      </c>
      <c r="B2" s="1" t="s">
        <v>149</v>
      </c>
      <c r="C2" s="1" t="s">
        <v>150</v>
      </c>
      <c r="D2" s="1" t="s">
        <v>253</v>
      </c>
      <c r="E2" s="1" t="s">
        <v>254</v>
      </c>
      <c r="F2" s="1" t="s">
        <v>255</v>
      </c>
      <c r="G2" s="1" t="s">
        <v>256</v>
      </c>
      <c r="H2" s="1" t="s">
        <v>257</v>
      </c>
      <c r="I2" s="1" t="s">
        <v>258</v>
      </c>
      <c r="J2" s="1" t="s">
        <v>259</v>
      </c>
      <c r="K2" s="1" t="s">
        <v>260</v>
      </c>
      <c r="L2" s="1" t="s">
        <v>261</v>
      </c>
      <c r="M2" s="1" t="s">
        <v>262</v>
      </c>
      <c r="N2" s="1" t="s">
        <v>263</v>
      </c>
      <c r="O2" s="1" t="s">
        <v>264</v>
      </c>
      <c r="P2" s="1" t="s">
        <v>265</v>
      </c>
      <c r="Q2" s="1" t="s">
        <v>266</v>
      </c>
      <c r="R2" s="1" t="s">
        <v>267</v>
      </c>
      <c r="S2" s="1" t="s">
        <v>268</v>
      </c>
      <c r="T2" s="1" t="s">
        <v>269</v>
      </c>
      <c r="U2" s="1" t="s">
        <v>270</v>
      </c>
    </row>
    <row r="3" spans="1:21" ht="36" customHeight="1" x14ac:dyDescent="0.3">
      <c r="A3" s="8" t="s">
        <v>271</v>
      </c>
      <c r="B3" s="8" t="s">
        <v>272</v>
      </c>
      <c r="C3" s="8" t="s">
        <v>273</v>
      </c>
      <c r="D3" s="8" t="s">
        <v>134</v>
      </c>
      <c r="E3" s="8" t="s">
        <v>274</v>
      </c>
      <c r="F3" s="8" t="s">
        <v>275</v>
      </c>
      <c r="G3" s="8" t="s">
        <v>276</v>
      </c>
      <c r="H3" s="8" t="s">
        <v>277</v>
      </c>
      <c r="I3" s="8" t="s">
        <v>278</v>
      </c>
      <c r="J3" s="8" t="s">
        <v>279</v>
      </c>
      <c r="K3" s="8" t="s">
        <v>280</v>
      </c>
      <c r="L3" s="8" t="s">
        <v>281</v>
      </c>
      <c r="M3" s="8" t="s">
        <v>282</v>
      </c>
      <c r="N3" s="8" t="s">
        <v>283</v>
      </c>
      <c r="O3" s="8" t="s">
        <v>284</v>
      </c>
      <c r="P3" s="8" t="s">
        <v>285</v>
      </c>
      <c r="Q3" s="8" t="s">
        <v>286</v>
      </c>
      <c r="R3" s="8" t="s">
        <v>287</v>
      </c>
      <c r="S3" s="8" t="s">
        <v>288</v>
      </c>
      <c r="T3" s="8" t="s">
        <v>289</v>
      </c>
      <c r="U3" s="8" t="s">
        <v>290</v>
      </c>
    </row>
    <row r="4" spans="1:21" x14ac:dyDescent="0.3">
      <c r="A4" s="24" t="s">
        <v>164</v>
      </c>
      <c r="B4" s="24" t="s">
        <v>407</v>
      </c>
      <c r="C4" s="24" t="s">
        <v>47</v>
      </c>
      <c r="D4" s="24" t="s">
        <v>31</v>
      </c>
      <c r="E4" s="26">
        <v>5</v>
      </c>
      <c r="F4" s="26">
        <v>78.75</v>
      </c>
      <c r="G4" s="26">
        <v>39.375</v>
      </c>
      <c r="H4" s="26">
        <v>100</v>
      </c>
      <c r="I4" s="24" t="s">
        <v>9</v>
      </c>
      <c r="J4" s="26">
        <v>0</v>
      </c>
      <c r="K4" s="26">
        <v>0</v>
      </c>
      <c r="L4" s="26">
        <v>0</v>
      </c>
      <c r="M4" s="24" t="s">
        <v>9</v>
      </c>
      <c r="N4" s="26">
        <v>0.35</v>
      </c>
      <c r="O4" s="26">
        <v>0.2</v>
      </c>
      <c r="P4" s="26">
        <v>0.8</v>
      </c>
      <c r="Q4" s="24" t="s">
        <v>9</v>
      </c>
      <c r="R4" s="26">
        <v>0</v>
      </c>
      <c r="S4" s="26">
        <v>0</v>
      </c>
      <c r="T4" s="26">
        <v>0</v>
      </c>
      <c r="U4" s="24" t="s">
        <v>9</v>
      </c>
    </row>
    <row r="5" spans="1:21" x14ac:dyDescent="0.3">
      <c r="A5" s="25" t="s">
        <v>164</v>
      </c>
      <c r="B5" s="25" t="s">
        <v>407</v>
      </c>
      <c r="C5" s="25" t="s">
        <v>47</v>
      </c>
      <c r="D5" s="25" t="s">
        <v>29</v>
      </c>
      <c r="E5" s="27">
        <v>4</v>
      </c>
      <c r="F5" s="27">
        <v>77.81</v>
      </c>
      <c r="G5" s="27">
        <v>38.905000000000001</v>
      </c>
      <c r="H5" s="26">
        <v>100</v>
      </c>
      <c r="I5" s="25" t="s">
        <v>9</v>
      </c>
      <c r="J5" s="27">
        <v>5.0000000000000001E-3</v>
      </c>
      <c r="K5" s="27">
        <v>2.5000000000000001E-3</v>
      </c>
      <c r="L5" s="27">
        <v>0.01</v>
      </c>
      <c r="M5" s="25" t="s">
        <v>9</v>
      </c>
      <c r="N5" s="27">
        <v>0.48</v>
      </c>
      <c r="O5" s="27">
        <v>0.15</v>
      </c>
      <c r="P5" s="27">
        <v>0.6</v>
      </c>
      <c r="Q5" s="25" t="s">
        <v>9</v>
      </c>
      <c r="R5" s="27">
        <v>0</v>
      </c>
      <c r="S5" s="27">
        <v>0</v>
      </c>
      <c r="T5" s="27">
        <v>0</v>
      </c>
      <c r="U5" s="25" t="s">
        <v>9</v>
      </c>
    </row>
    <row r="6" spans="1:21" x14ac:dyDescent="0.3">
      <c r="A6" s="24" t="s">
        <v>164</v>
      </c>
      <c r="B6" s="24" t="s">
        <v>407</v>
      </c>
      <c r="C6" s="24" t="s">
        <v>47</v>
      </c>
      <c r="D6" s="24" t="s">
        <v>25</v>
      </c>
      <c r="E6" s="26">
        <v>77</v>
      </c>
      <c r="F6" s="26">
        <v>5</v>
      </c>
      <c r="G6" s="26">
        <v>2.5</v>
      </c>
      <c r="H6" s="26">
        <v>7.5</v>
      </c>
      <c r="I6" s="24" t="s">
        <v>9</v>
      </c>
      <c r="J6" s="26">
        <v>5.0000000000000001E-3</v>
      </c>
      <c r="K6" s="26">
        <v>2.5000000000000001E-3</v>
      </c>
      <c r="L6" s="26">
        <v>0.01</v>
      </c>
      <c r="M6" s="24" t="s">
        <v>9</v>
      </c>
      <c r="N6" s="26">
        <v>0.3</v>
      </c>
      <c r="O6" s="26">
        <v>0.1</v>
      </c>
      <c r="P6" s="26">
        <v>0.4</v>
      </c>
      <c r="Q6" s="24" t="s">
        <v>9</v>
      </c>
      <c r="R6" s="26">
        <v>0.02</v>
      </c>
      <c r="S6" s="26">
        <v>0.01</v>
      </c>
      <c r="T6" s="26">
        <v>0.03</v>
      </c>
      <c r="U6" s="24" t="s">
        <v>9</v>
      </c>
    </row>
    <row r="7" spans="1:21" x14ac:dyDescent="0.3">
      <c r="A7" s="25" t="s">
        <v>164</v>
      </c>
      <c r="B7" s="25" t="s">
        <v>407</v>
      </c>
      <c r="C7" s="25" t="s">
        <v>47</v>
      </c>
      <c r="D7" s="25" t="s">
        <v>27</v>
      </c>
      <c r="E7" s="27">
        <v>8</v>
      </c>
      <c r="F7" s="27">
        <v>2</v>
      </c>
      <c r="G7" s="27">
        <v>1</v>
      </c>
      <c r="H7" s="27">
        <v>3</v>
      </c>
      <c r="I7" s="25" t="s">
        <v>9</v>
      </c>
      <c r="J7" s="27">
        <v>0.02</v>
      </c>
      <c r="K7" s="27">
        <v>0.01</v>
      </c>
      <c r="L7" s="27">
        <v>0.04</v>
      </c>
      <c r="M7" s="25" t="s">
        <v>9</v>
      </c>
      <c r="N7" s="27">
        <v>0.3</v>
      </c>
      <c r="O7" s="27">
        <v>0.2</v>
      </c>
      <c r="P7" s="27">
        <v>0.5</v>
      </c>
      <c r="Q7" s="25" t="s">
        <v>9</v>
      </c>
      <c r="R7" s="27">
        <v>3.5000000000000003E-2</v>
      </c>
      <c r="S7" s="27">
        <v>0</v>
      </c>
      <c r="T7" s="27">
        <v>7.0000000000000007E-2</v>
      </c>
      <c r="U7" s="25" t="s">
        <v>9</v>
      </c>
    </row>
    <row r="8" spans="1:21" x14ac:dyDescent="0.3">
      <c r="A8" s="24" t="s">
        <v>164</v>
      </c>
      <c r="B8" s="24" t="s">
        <v>407</v>
      </c>
      <c r="C8" s="24" t="s">
        <v>47</v>
      </c>
      <c r="D8" s="24" t="s">
        <v>24</v>
      </c>
      <c r="E8" s="26">
        <v>5</v>
      </c>
      <c r="F8" s="26">
        <v>1</v>
      </c>
      <c r="G8" s="26">
        <v>0.5</v>
      </c>
      <c r="H8" s="26">
        <v>1.5</v>
      </c>
      <c r="I8" s="24" t="s">
        <v>9</v>
      </c>
      <c r="J8" s="26">
        <v>0</v>
      </c>
      <c r="K8" s="26">
        <v>0</v>
      </c>
      <c r="L8" s="26">
        <v>0</v>
      </c>
      <c r="M8" s="24" t="s">
        <v>9</v>
      </c>
      <c r="N8" s="26">
        <v>7.0000000000000007E-2</v>
      </c>
      <c r="O8" s="26">
        <v>0.05</v>
      </c>
      <c r="P8" s="26">
        <v>0.6</v>
      </c>
      <c r="Q8" s="24" t="s">
        <v>9</v>
      </c>
      <c r="R8" s="26">
        <v>0</v>
      </c>
      <c r="S8" s="26">
        <v>0</v>
      </c>
      <c r="T8" s="26">
        <v>0</v>
      </c>
      <c r="U8" s="24" t="s">
        <v>9</v>
      </c>
    </row>
    <row r="9" spans="1:21" x14ac:dyDescent="0.3">
      <c r="A9" s="25" t="s">
        <v>164</v>
      </c>
      <c r="B9" s="25" t="s">
        <v>407</v>
      </c>
      <c r="C9" s="25" t="s">
        <v>47</v>
      </c>
      <c r="D9" s="25" t="s">
        <v>32</v>
      </c>
      <c r="E9" s="27">
        <v>1</v>
      </c>
      <c r="F9" s="27">
        <v>9.5500000000000007</v>
      </c>
      <c r="G9" s="27">
        <v>4.7750000000000004</v>
      </c>
      <c r="H9" s="27">
        <v>14.324999999999999</v>
      </c>
      <c r="I9" s="25" t="s">
        <v>9</v>
      </c>
      <c r="J9" s="27">
        <v>5.9999999999999995E-4</v>
      </c>
      <c r="K9" s="27">
        <v>2.9999999999999997E-4</v>
      </c>
      <c r="L9" s="27">
        <v>1.1999999999999999E-3</v>
      </c>
      <c r="M9" s="25" t="s">
        <v>9</v>
      </c>
      <c r="N9" s="27">
        <v>0.23</v>
      </c>
      <c r="O9" s="27">
        <v>0.02</v>
      </c>
      <c r="P9" s="27">
        <v>0.66</v>
      </c>
      <c r="Q9" s="25" t="s">
        <v>9</v>
      </c>
      <c r="R9" s="27">
        <v>0</v>
      </c>
      <c r="S9" s="27">
        <v>0</v>
      </c>
      <c r="T9" s="27">
        <v>0</v>
      </c>
      <c r="U9" s="25" t="s">
        <v>9</v>
      </c>
    </row>
    <row r="10" spans="1:21" x14ac:dyDescent="0.3">
      <c r="A10" s="24" t="s">
        <v>164</v>
      </c>
      <c r="B10" s="24" t="s">
        <v>407</v>
      </c>
      <c r="C10" s="24" t="s">
        <v>47</v>
      </c>
      <c r="D10" s="24" t="s">
        <v>23</v>
      </c>
      <c r="E10" s="26">
        <v>0</v>
      </c>
      <c r="F10" s="26">
        <v>0.47</v>
      </c>
      <c r="G10" s="26">
        <v>0.23499999999999999</v>
      </c>
      <c r="H10" s="26">
        <v>0.70499999999999996</v>
      </c>
      <c r="I10" s="24" t="s">
        <v>9</v>
      </c>
      <c r="J10" s="26">
        <v>6.0000000000000001E-3</v>
      </c>
      <c r="K10" s="26">
        <v>0</v>
      </c>
      <c r="L10" s="26">
        <v>2.7E-2</v>
      </c>
      <c r="M10" s="24" t="s">
        <v>9</v>
      </c>
      <c r="N10" s="27">
        <v>0.21</v>
      </c>
      <c r="O10" s="27">
        <v>0</v>
      </c>
      <c r="P10" s="27">
        <v>0.31</v>
      </c>
      <c r="Q10" s="24" t="s">
        <v>9</v>
      </c>
      <c r="R10" s="26">
        <v>0.24</v>
      </c>
      <c r="S10" s="26">
        <v>0.01</v>
      </c>
      <c r="T10" s="26">
        <v>0.73</v>
      </c>
      <c r="U10" s="24" t="s">
        <v>9</v>
      </c>
    </row>
    <row r="11" spans="1:21" x14ac:dyDescent="0.3">
      <c r="A11" s="25" t="s">
        <v>164</v>
      </c>
      <c r="B11" s="25" t="s">
        <v>407</v>
      </c>
      <c r="C11" s="25" t="s">
        <v>51</v>
      </c>
      <c r="D11" s="25" t="s">
        <v>31</v>
      </c>
      <c r="E11" s="27">
        <v>5</v>
      </c>
      <c r="F11" s="27">
        <v>78.75</v>
      </c>
      <c r="G11" s="27">
        <v>39.375</v>
      </c>
      <c r="H11" s="26">
        <v>100</v>
      </c>
      <c r="I11" s="25" t="s">
        <v>9</v>
      </c>
      <c r="J11" s="27">
        <v>0</v>
      </c>
      <c r="K11" s="27">
        <v>0</v>
      </c>
      <c r="L11" s="27">
        <v>0</v>
      </c>
      <c r="M11" s="25" t="s">
        <v>9</v>
      </c>
      <c r="N11" s="26">
        <v>0.35</v>
      </c>
      <c r="O11" s="26">
        <v>0.2</v>
      </c>
      <c r="P11" s="26">
        <v>0.8</v>
      </c>
      <c r="Q11" s="25" t="s">
        <v>9</v>
      </c>
      <c r="R11" s="27">
        <v>0</v>
      </c>
      <c r="S11" s="27">
        <v>0</v>
      </c>
      <c r="T11" s="27">
        <v>0</v>
      </c>
      <c r="U11" s="25" t="s">
        <v>9</v>
      </c>
    </row>
    <row r="12" spans="1:21" x14ac:dyDescent="0.3">
      <c r="A12" s="24" t="s">
        <v>164</v>
      </c>
      <c r="B12" s="24" t="s">
        <v>407</v>
      </c>
      <c r="C12" s="24" t="s">
        <v>51</v>
      </c>
      <c r="D12" s="24" t="s">
        <v>29</v>
      </c>
      <c r="E12" s="26">
        <v>4</v>
      </c>
      <c r="F12" s="26">
        <v>77.81</v>
      </c>
      <c r="G12" s="26">
        <v>38.905000000000001</v>
      </c>
      <c r="H12" s="26">
        <v>100</v>
      </c>
      <c r="I12" s="24" t="s">
        <v>9</v>
      </c>
      <c r="J12" s="26">
        <v>5.0000000000000001E-3</v>
      </c>
      <c r="K12" s="26">
        <v>2.5000000000000001E-3</v>
      </c>
      <c r="L12" s="26">
        <v>0.01</v>
      </c>
      <c r="M12" s="24" t="s">
        <v>9</v>
      </c>
      <c r="N12" s="27">
        <v>0.48</v>
      </c>
      <c r="O12" s="27">
        <v>0.15</v>
      </c>
      <c r="P12" s="27">
        <v>0.6</v>
      </c>
      <c r="Q12" s="24" t="s">
        <v>9</v>
      </c>
      <c r="R12" s="26">
        <v>0</v>
      </c>
      <c r="S12" s="26">
        <v>0</v>
      </c>
      <c r="T12" s="26">
        <v>0</v>
      </c>
      <c r="U12" s="24" t="s">
        <v>9</v>
      </c>
    </row>
    <row r="13" spans="1:21" x14ac:dyDescent="0.3">
      <c r="A13" s="25" t="s">
        <v>164</v>
      </c>
      <c r="B13" s="25" t="s">
        <v>407</v>
      </c>
      <c r="C13" s="25" t="s">
        <v>51</v>
      </c>
      <c r="D13" s="25" t="s">
        <v>25</v>
      </c>
      <c r="E13" s="27">
        <v>50</v>
      </c>
      <c r="F13" s="27">
        <v>5</v>
      </c>
      <c r="G13" s="27">
        <v>2.5</v>
      </c>
      <c r="H13" s="27">
        <v>7.5</v>
      </c>
      <c r="I13" s="25" t="s">
        <v>9</v>
      </c>
      <c r="J13" s="27">
        <v>5.0000000000000001E-3</v>
      </c>
      <c r="K13" s="27">
        <v>2.5000000000000001E-3</v>
      </c>
      <c r="L13" s="27">
        <v>0.01</v>
      </c>
      <c r="M13" s="25" t="s">
        <v>9</v>
      </c>
      <c r="N13" s="26">
        <v>0.3</v>
      </c>
      <c r="O13" s="26">
        <v>0.1</v>
      </c>
      <c r="P13" s="26">
        <v>0.4</v>
      </c>
      <c r="Q13" s="25" t="s">
        <v>9</v>
      </c>
      <c r="R13" s="27">
        <v>0.02</v>
      </c>
      <c r="S13" s="27">
        <v>0.01</v>
      </c>
      <c r="T13" s="27">
        <v>0.03</v>
      </c>
      <c r="U13" s="25" t="s">
        <v>9</v>
      </c>
    </row>
    <row r="14" spans="1:21" x14ac:dyDescent="0.3">
      <c r="A14" s="24" t="s">
        <v>164</v>
      </c>
      <c r="B14" s="24" t="s">
        <v>407</v>
      </c>
      <c r="C14" s="24" t="s">
        <v>51</v>
      </c>
      <c r="D14" s="24" t="s">
        <v>27</v>
      </c>
      <c r="E14" s="26">
        <v>8</v>
      </c>
      <c r="F14" s="26">
        <v>2</v>
      </c>
      <c r="G14" s="26">
        <v>1</v>
      </c>
      <c r="H14" s="26">
        <v>3</v>
      </c>
      <c r="I14" s="24" t="s">
        <v>9</v>
      </c>
      <c r="J14" s="26">
        <v>0.02</v>
      </c>
      <c r="K14" s="26">
        <v>0.01</v>
      </c>
      <c r="L14" s="26">
        <v>0.04</v>
      </c>
      <c r="M14" s="24" t="s">
        <v>9</v>
      </c>
      <c r="N14" s="27">
        <v>0.3</v>
      </c>
      <c r="O14" s="27">
        <v>0.2</v>
      </c>
      <c r="P14" s="27">
        <v>0.5</v>
      </c>
      <c r="Q14" s="24" t="s">
        <v>9</v>
      </c>
      <c r="R14" s="27">
        <v>3.5000000000000003E-2</v>
      </c>
      <c r="S14" s="27">
        <v>0</v>
      </c>
      <c r="T14" s="27">
        <v>7.0000000000000007E-2</v>
      </c>
      <c r="U14" s="24" t="s">
        <v>9</v>
      </c>
    </row>
    <row r="15" spans="1:21" x14ac:dyDescent="0.3">
      <c r="A15" s="25" t="s">
        <v>164</v>
      </c>
      <c r="B15" s="25" t="s">
        <v>407</v>
      </c>
      <c r="C15" s="25" t="s">
        <v>51</v>
      </c>
      <c r="D15" s="25" t="s">
        <v>24</v>
      </c>
      <c r="E15" s="27">
        <v>5</v>
      </c>
      <c r="F15" s="27">
        <v>1</v>
      </c>
      <c r="G15" s="27">
        <v>0.5</v>
      </c>
      <c r="H15" s="27">
        <v>1.5</v>
      </c>
      <c r="I15" s="25" t="s">
        <v>9</v>
      </c>
      <c r="J15" s="27">
        <v>0</v>
      </c>
      <c r="K15" s="27">
        <v>0</v>
      </c>
      <c r="L15" s="27">
        <v>0</v>
      </c>
      <c r="M15" s="25" t="s">
        <v>9</v>
      </c>
      <c r="N15" s="26">
        <v>7.0000000000000007E-2</v>
      </c>
      <c r="O15" s="26">
        <v>0.05</v>
      </c>
      <c r="P15" s="26">
        <v>0.6</v>
      </c>
      <c r="Q15" s="25" t="s">
        <v>9</v>
      </c>
      <c r="R15" s="27">
        <v>0</v>
      </c>
      <c r="S15" s="27">
        <v>0</v>
      </c>
      <c r="T15" s="27">
        <v>0</v>
      </c>
      <c r="U15" s="25" t="s">
        <v>9</v>
      </c>
    </row>
    <row r="16" spans="1:21" x14ac:dyDescent="0.3">
      <c r="A16" s="24" t="s">
        <v>164</v>
      </c>
      <c r="B16" s="24" t="s">
        <v>407</v>
      </c>
      <c r="C16" s="24" t="s">
        <v>51</v>
      </c>
      <c r="D16" s="24" t="s">
        <v>32</v>
      </c>
      <c r="E16" s="26">
        <v>1</v>
      </c>
      <c r="F16" s="26">
        <v>9.5500000000000007</v>
      </c>
      <c r="G16" s="26">
        <v>4.7750000000000004</v>
      </c>
      <c r="H16" s="26">
        <v>14.324999999999999</v>
      </c>
      <c r="I16" s="24" t="s">
        <v>9</v>
      </c>
      <c r="J16" s="26">
        <v>5.9999999999999995E-4</v>
      </c>
      <c r="K16" s="26">
        <v>2.9999999999999997E-4</v>
      </c>
      <c r="L16" s="26">
        <v>1.1999999999999999E-3</v>
      </c>
      <c r="M16" s="24" t="s">
        <v>9</v>
      </c>
      <c r="N16" s="27">
        <v>0.23</v>
      </c>
      <c r="O16" s="27">
        <v>0.02</v>
      </c>
      <c r="P16" s="27">
        <v>0.66</v>
      </c>
      <c r="Q16" s="24" t="s">
        <v>9</v>
      </c>
      <c r="R16" s="26">
        <v>0</v>
      </c>
      <c r="S16" s="26">
        <v>0</v>
      </c>
      <c r="T16" s="26">
        <v>0</v>
      </c>
      <c r="U16" s="24" t="s">
        <v>9</v>
      </c>
    </row>
    <row r="17" spans="1:21" x14ac:dyDescent="0.3">
      <c r="A17" s="25" t="s">
        <v>164</v>
      </c>
      <c r="B17" s="25" t="s">
        <v>407</v>
      </c>
      <c r="C17" s="25" t="s">
        <v>51</v>
      </c>
      <c r="D17" s="25" t="s">
        <v>23</v>
      </c>
      <c r="E17" s="27">
        <v>27</v>
      </c>
      <c r="F17" s="27">
        <v>0.47</v>
      </c>
      <c r="G17" s="27">
        <v>0.23499999999999999</v>
      </c>
      <c r="H17" s="27">
        <v>0.70499999999999996</v>
      </c>
      <c r="I17" s="25" t="s">
        <v>9</v>
      </c>
      <c r="J17" s="26">
        <v>6.0000000000000001E-3</v>
      </c>
      <c r="K17" s="26">
        <v>0</v>
      </c>
      <c r="L17" s="26">
        <v>2.7E-2</v>
      </c>
      <c r="M17" s="25" t="s">
        <v>9</v>
      </c>
      <c r="N17" s="27">
        <v>0.21</v>
      </c>
      <c r="O17" s="27">
        <v>0</v>
      </c>
      <c r="P17" s="27">
        <v>0.31</v>
      </c>
      <c r="Q17" s="25" t="s">
        <v>9</v>
      </c>
      <c r="R17" s="26">
        <v>0.24</v>
      </c>
      <c r="S17" s="26">
        <v>0.01</v>
      </c>
      <c r="T17" s="26">
        <v>0.73</v>
      </c>
      <c r="U17" s="25" t="s">
        <v>9</v>
      </c>
    </row>
    <row r="18" spans="1:21" x14ac:dyDescent="0.3">
      <c r="A18" s="24" t="s">
        <v>164</v>
      </c>
      <c r="B18" s="24" t="s">
        <v>407</v>
      </c>
      <c r="C18" s="24" t="s">
        <v>54</v>
      </c>
      <c r="D18" s="24" t="s">
        <v>31</v>
      </c>
      <c r="E18" s="26">
        <v>5</v>
      </c>
      <c r="F18" s="26">
        <v>78.75</v>
      </c>
      <c r="G18" s="26">
        <v>39.375</v>
      </c>
      <c r="H18" s="26">
        <v>100</v>
      </c>
      <c r="I18" s="24" t="s">
        <v>9</v>
      </c>
      <c r="J18" s="26">
        <v>0</v>
      </c>
      <c r="K18" s="26">
        <v>0</v>
      </c>
      <c r="L18" s="26">
        <v>0</v>
      </c>
      <c r="M18" s="24" t="s">
        <v>9</v>
      </c>
      <c r="N18" s="26">
        <v>0.35</v>
      </c>
      <c r="O18" s="26">
        <v>0.2</v>
      </c>
      <c r="P18" s="26">
        <v>0.8</v>
      </c>
      <c r="Q18" s="24" t="s">
        <v>9</v>
      </c>
      <c r="R18" s="26">
        <v>0</v>
      </c>
      <c r="S18" s="26">
        <v>0</v>
      </c>
      <c r="T18" s="26">
        <v>0</v>
      </c>
      <c r="U18" s="24" t="s">
        <v>9</v>
      </c>
    </row>
    <row r="19" spans="1:21" x14ac:dyDescent="0.3">
      <c r="A19" s="25" t="s">
        <v>164</v>
      </c>
      <c r="B19" s="25" t="s">
        <v>407</v>
      </c>
      <c r="C19" s="25" t="s">
        <v>54</v>
      </c>
      <c r="D19" s="25" t="s">
        <v>29</v>
      </c>
      <c r="E19" s="27">
        <v>4</v>
      </c>
      <c r="F19" s="27">
        <v>77.81</v>
      </c>
      <c r="G19" s="27">
        <v>38.905000000000001</v>
      </c>
      <c r="H19" s="26">
        <v>100</v>
      </c>
      <c r="I19" s="25" t="s">
        <v>9</v>
      </c>
      <c r="J19" s="27">
        <v>5.0000000000000001E-3</v>
      </c>
      <c r="K19" s="27">
        <v>2.5000000000000001E-3</v>
      </c>
      <c r="L19" s="27">
        <v>0.01</v>
      </c>
      <c r="M19" s="25" t="s">
        <v>9</v>
      </c>
      <c r="N19" s="27">
        <v>0.48</v>
      </c>
      <c r="O19" s="27">
        <v>0.15</v>
      </c>
      <c r="P19" s="27">
        <v>0.6</v>
      </c>
      <c r="Q19" s="25" t="s">
        <v>9</v>
      </c>
      <c r="R19" s="27">
        <v>0</v>
      </c>
      <c r="S19" s="27">
        <v>0</v>
      </c>
      <c r="T19" s="27">
        <v>0</v>
      </c>
      <c r="U19" s="25" t="s">
        <v>9</v>
      </c>
    </row>
    <row r="20" spans="1:21" x14ac:dyDescent="0.3">
      <c r="A20" s="24" t="s">
        <v>164</v>
      </c>
      <c r="B20" s="24" t="s">
        <v>407</v>
      </c>
      <c r="C20" s="24" t="s">
        <v>54</v>
      </c>
      <c r="D20" s="24" t="s">
        <v>25</v>
      </c>
      <c r="E20" s="26">
        <v>50</v>
      </c>
      <c r="F20" s="26">
        <v>5</v>
      </c>
      <c r="G20" s="26">
        <v>2.5</v>
      </c>
      <c r="H20" s="26">
        <v>7.5</v>
      </c>
      <c r="I20" s="24" t="s">
        <v>9</v>
      </c>
      <c r="J20" s="26">
        <v>5.0000000000000001E-3</v>
      </c>
      <c r="K20" s="26">
        <v>2.5000000000000001E-3</v>
      </c>
      <c r="L20" s="26">
        <v>0.01</v>
      </c>
      <c r="M20" s="24" t="s">
        <v>9</v>
      </c>
      <c r="N20" s="26">
        <v>0.3</v>
      </c>
      <c r="O20" s="26">
        <v>0.1</v>
      </c>
      <c r="P20" s="26">
        <v>0.4</v>
      </c>
      <c r="Q20" s="24" t="s">
        <v>9</v>
      </c>
      <c r="R20" s="26">
        <v>0.02</v>
      </c>
      <c r="S20" s="26">
        <v>0.01</v>
      </c>
      <c r="T20" s="26">
        <v>0.03</v>
      </c>
      <c r="U20" s="24" t="s">
        <v>9</v>
      </c>
    </row>
    <row r="21" spans="1:21" x14ac:dyDescent="0.3">
      <c r="A21" s="25" t="s">
        <v>164</v>
      </c>
      <c r="B21" s="25" t="s">
        <v>407</v>
      </c>
      <c r="C21" s="25" t="s">
        <v>54</v>
      </c>
      <c r="D21" s="25" t="s">
        <v>27</v>
      </c>
      <c r="E21" s="27">
        <v>8</v>
      </c>
      <c r="F21" s="27">
        <v>2</v>
      </c>
      <c r="G21" s="27">
        <v>1</v>
      </c>
      <c r="H21" s="27">
        <v>3</v>
      </c>
      <c r="I21" s="25" t="s">
        <v>9</v>
      </c>
      <c r="J21" s="27">
        <v>0.02</v>
      </c>
      <c r="K21" s="27">
        <v>0.01</v>
      </c>
      <c r="L21" s="27">
        <v>0.04</v>
      </c>
      <c r="M21" s="25" t="s">
        <v>9</v>
      </c>
      <c r="N21" s="27">
        <v>0.3</v>
      </c>
      <c r="O21" s="27">
        <v>0.2</v>
      </c>
      <c r="P21" s="27">
        <v>0.5</v>
      </c>
      <c r="Q21" s="25" t="s">
        <v>9</v>
      </c>
      <c r="R21" s="27">
        <v>3.5000000000000003E-2</v>
      </c>
      <c r="S21" s="27">
        <v>0</v>
      </c>
      <c r="T21" s="27">
        <v>7.0000000000000007E-2</v>
      </c>
      <c r="U21" s="25" t="s">
        <v>9</v>
      </c>
    </row>
    <row r="22" spans="1:21" x14ac:dyDescent="0.3">
      <c r="A22" s="24" t="s">
        <v>164</v>
      </c>
      <c r="B22" s="24" t="s">
        <v>407</v>
      </c>
      <c r="C22" s="24" t="s">
        <v>54</v>
      </c>
      <c r="D22" s="24" t="s">
        <v>24</v>
      </c>
      <c r="E22" s="26">
        <v>5</v>
      </c>
      <c r="F22" s="26">
        <v>1</v>
      </c>
      <c r="G22" s="26">
        <v>0.5</v>
      </c>
      <c r="H22" s="26">
        <v>1.5</v>
      </c>
      <c r="I22" s="24" t="s">
        <v>9</v>
      </c>
      <c r="J22" s="26">
        <v>0</v>
      </c>
      <c r="K22" s="26">
        <v>0</v>
      </c>
      <c r="L22" s="26">
        <v>0</v>
      </c>
      <c r="M22" s="24" t="s">
        <v>9</v>
      </c>
      <c r="N22" s="26">
        <v>7.0000000000000007E-2</v>
      </c>
      <c r="O22" s="26">
        <v>0.05</v>
      </c>
      <c r="P22" s="26">
        <v>0.6</v>
      </c>
      <c r="Q22" s="24" t="s">
        <v>9</v>
      </c>
      <c r="R22" s="26">
        <v>0</v>
      </c>
      <c r="S22" s="26">
        <v>0</v>
      </c>
      <c r="T22" s="26">
        <v>0</v>
      </c>
      <c r="U22" s="24" t="s">
        <v>9</v>
      </c>
    </row>
    <row r="23" spans="1:21" x14ac:dyDescent="0.3">
      <c r="A23" s="25" t="s">
        <v>164</v>
      </c>
      <c r="B23" s="25" t="s">
        <v>407</v>
      </c>
      <c r="C23" s="25" t="s">
        <v>54</v>
      </c>
      <c r="D23" s="25" t="s">
        <v>32</v>
      </c>
      <c r="E23" s="27">
        <v>1</v>
      </c>
      <c r="F23" s="27">
        <v>9.5500000000000007</v>
      </c>
      <c r="G23" s="27">
        <v>4.7750000000000004</v>
      </c>
      <c r="H23" s="27">
        <v>14.324999999999999</v>
      </c>
      <c r="I23" s="25" t="s">
        <v>9</v>
      </c>
      <c r="J23" s="27">
        <v>5.9999999999999995E-4</v>
      </c>
      <c r="K23" s="27">
        <v>2.9999999999999997E-4</v>
      </c>
      <c r="L23" s="27">
        <v>1.1999999999999999E-3</v>
      </c>
      <c r="M23" s="25" t="s">
        <v>9</v>
      </c>
      <c r="N23" s="27">
        <v>0.23</v>
      </c>
      <c r="O23" s="27">
        <v>0.02</v>
      </c>
      <c r="P23" s="27">
        <v>0.66</v>
      </c>
      <c r="Q23" s="25" t="s">
        <v>9</v>
      </c>
      <c r="R23" s="27">
        <v>0</v>
      </c>
      <c r="S23" s="27">
        <v>0</v>
      </c>
      <c r="T23" s="27">
        <v>0</v>
      </c>
      <c r="U23" s="25" t="s">
        <v>9</v>
      </c>
    </row>
    <row r="24" spans="1:21" x14ac:dyDescent="0.3">
      <c r="A24" s="24" t="s">
        <v>164</v>
      </c>
      <c r="B24" s="24" t="s">
        <v>407</v>
      </c>
      <c r="C24" s="24" t="s">
        <v>54</v>
      </c>
      <c r="D24" s="24" t="s">
        <v>23</v>
      </c>
      <c r="E24" s="26">
        <v>27</v>
      </c>
      <c r="F24" s="26">
        <v>0.47</v>
      </c>
      <c r="G24" s="26">
        <v>0.23499999999999999</v>
      </c>
      <c r="H24" s="26">
        <v>0.70499999999999996</v>
      </c>
      <c r="I24" s="24" t="s">
        <v>9</v>
      </c>
      <c r="J24" s="26">
        <v>6.0000000000000001E-3</v>
      </c>
      <c r="K24" s="26">
        <v>0</v>
      </c>
      <c r="L24" s="26">
        <v>2.7E-2</v>
      </c>
      <c r="M24" s="24" t="s">
        <v>9</v>
      </c>
      <c r="N24" s="27">
        <v>0.21</v>
      </c>
      <c r="O24" s="27">
        <v>0</v>
      </c>
      <c r="P24" s="27">
        <v>0.31</v>
      </c>
      <c r="Q24" s="24" t="s">
        <v>9</v>
      </c>
      <c r="R24" s="26">
        <v>0.24</v>
      </c>
      <c r="S24" s="26">
        <v>0.01</v>
      </c>
      <c r="T24" s="26">
        <v>0.73</v>
      </c>
      <c r="U24" s="24" t="s">
        <v>9</v>
      </c>
    </row>
    <row r="25" spans="1:21" x14ac:dyDescent="0.3">
      <c r="A25" s="25" t="s">
        <v>164</v>
      </c>
      <c r="B25" s="25" t="s">
        <v>407</v>
      </c>
      <c r="C25" s="25" t="s">
        <v>56</v>
      </c>
      <c r="D25" s="25" t="s">
        <v>31</v>
      </c>
      <c r="E25" s="27">
        <v>5</v>
      </c>
      <c r="F25" s="27">
        <v>78.75</v>
      </c>
      <c r="G25" s="27">
        <v>39.375</v>
      </c>
      <c r="H25" s="26">
        <v>100</v>
      </c>
      <c r="I25" s="25" t="s">
        <v>9</v>
      </c>
      <c r="J25" s="27">
        <v>0</v>
      </c>
      <c r="K25" s="27">
        <v>0</v>
      </c>
      <c r="L25" s="27">
        <v>0</v>
      </c>
      <c r="M25" s="25" t="s">
        <v>9</v>
      </c>
      <c r="N25" s="26">
        <v>0.35</v>
      </c>
      <c r="O25" s="26">
        <v>0.2</v>
      </c>
      <c r="P25" s="26">
        <v>0.8</v>
      </c>
      <c r="Q25" s="25" t="s">
        <v>9</v>
      </c>
      <c r="R25" s="27">
        <v>0</v>
      </c>
      <c r="S25" s="27">
        <v>0</v>
      </c>
      <c r="T25" s="27">
        <v>0</v>
      </c>
      <c r="U25" s="25" t="s">
        <v>9</v>
      </c>
    </row>
    <row r="26" spans="1:21" x14ac:dyDescent="0.3">
      <c r="A26" s="24" t="s">
        <v>164</v>
      </c>
      <c r="B26" s="24" t="s">
        <v>407</v>
      </c>
      <c r="C26" s="24" t="s">
        <v>56</v>
      </c>
      <c r="D26" s="24" t="s">
        <v>29</v>
      </c>
      <c r="E26" s="26">
        <v>4</v>
      </c>
      <c r="F26" s="26">
        <v>77.81</v>
      </c>
      <c r="G26" s="26">
        <v>38.905000000000001</v>
      </c>
      <c r="H26" s="26">
        <v>100</v>
      </c>
      <c r="I26" s="24" t="s">
        <v>9</v>
      </c>
      <c r="J26" s="26">
        <v>5.0000000000000001E-3</v>
      </c>
      <c r="K26" s="26">
        <v>2.5000000000000001E-3</v>
      </c>
      <c r="L26" s="26">
        <v>0.01</v>
      </c>
      <c r="M26" s="24" t="s">
        <v>9</v>
      </c>
      <c r="N26" s="27">
        <v>0.48</v>
      </c>
      <c r="O26" s="27">
        <v>0.15</v>
      </c>
      <c r="P26" s="27">
        <v>0.6</v>
      </c>
      <c r="Q26" s="24" t="s">
        <v>9</v>
      </c>
      <c r="R26" s="26">
        <v>0</v>
      </c>
      <c r="S26" s="26">
        <v>0</v>
      </c>
      <c r="T26" s="26">
        <v>0</v>
      </c>
      <c r="U26" s="24" t="s">
        <v>9</v>
      </c>
    </row>
    <row r="27" spans="1:21" x14ac:dyDescent="0.3">
      <c r="A27" s="25" t="s">
        <v>164</v>
      </c>
      <c r="B27" s="25" t="s">
        <v>407</v>
      </c>
      <c r="C27" s="25" t="s">
        <v>56</v>
      </c>
      <c r="D27" s="25" t="s">
        <v>25</v>
      </c>
      <c r="E27" s="27">
        <v>50</v>
      </c>
      <c r="F27" s="27">
        <v>5</v>
      </c>
      <c r="G27" s="27">
        <v>2.5</v>
      </c>
      <c r="H27" s="27">
        <v>7.5</v>
      </c>
      <c r="I27" s="25" t="s">
        <v>9</v>
      </c>
      <c r="J27" s="27">
        <v>5.0000000000000001E-3</v>
      </c>
      <c r="K27" s="27">
        <v>2.5000000000000001E-3</v>
      </c>
      <c r="L27" s="27">
        <v>0.01</v>
      </c>
      <c r="M27" s="25" t="s">
        <v>9</v>
      </c>
      <c r="N27" s="26">
        <v>0.3</v>
      </c>
      <c r="O27" s="26">
        <v>0.1</v>
      </c>
      <c r="P27" s="26">
        <v>0.4</v>
      </c>
      <c r="Q27" s="25" t="s">
        <v>9</v>
      </c>
      <c r="R27" s="27">
        <v>0.02</v>
      </c>
      <c r="S27" s="27">
        <v>0.01</v>
      </c>
      <c r="T27" s="27">
        <v>0.03</v>
      </c>
      <c r="U27" s="25" t="s">
        <v>9</v>
      </c>
    </row>
    <row r="28" spans="1:21" x14ac:dyDescent="0.3">
      <c r="A28" s="24" t="s">
        <v>164</v>
      </c>
      <c r="B28" s="24" t="s">
        <v>407</v>
      </c>
      <c r="C28" s="24" t="s">
        <v>56</v>
      </c>
      <c r="D28" s="24" t="s">
        <v>27</v>
      </c>
      <c r="E28" s="26">
        <v>8</v>
      </c>
      <c r="F28" s="26">
        <v>2</v>
      </c>
      <c r="G28" s="26">
        <v>1</v>
      </c>
      <c r="H28" s="26">
        <v>3</v>
      </c>
      <c r="I28" s="24" t="s">
        <v>9</v>
      </c>
      <c r="J28" s="26">
        <v>0.02</v>
      </c>
      <c r="K28" s="26">
        <v>0.01</v>
      </c>
      <c r="L28" s="26">
        <v>0.04</v>
      </c>
      <c r="M28" s="24" t="s">
        <v>9</v>
      </c>
      <c r="N28" s="27">
        <v>0.3</v>
      </c>
      <c r="O28" s="27">
        <v>0.2</v>
      </c>
      <c r="P28" s="27">
        <v>0.5</v>
      </c>
      <c r="Q28" s="24" t="s">
        <v>9</v>
      </c>
      <c r="R28" s="27">
        <v>3.5000000000000003E-2</v>
      </c>
      <c r="S28" s="27">
        <v>0</v>
      </c>
      <c r="T28" s="27">
        <v>7.0000000000000007E-2</v>
      </c>
      <c r="U28" s="24" t="s">
        <v>9</v>
      </c>
    </row>
    <row r="29" spans="1:21" x14ac:dyDescent="0.3">
      <c r="A29" s="25" t="s">
        <v>164</v>
      </c>
      <c r="B29" s="25" t="s">
        <v>407</v>
      </c>
      <c r="C29" s="25" t="s">
        <v>56</v>
      </c>
      <c r="D29" s="25" t="s">
        <v>24</v>
      </c>
      <c r="E29" s="27">
        <v>5</v>
      </c>
      <c r="F29" s="27">
        <v>1</v>
      </c>
      <c r="G29" s="27">
        <v>0.5</v>
      </c>
      <c r="H29" s="27">
        <v>1.5</v>
      </c>
      <c r="I29" s="25" t="s">
        <v>9</v>
      </c>
      <c r="J29" s="27">
        <v>0</v>
      </c>
      <c r="K29" s="27">
        <v>0</v>
      </c>
      <c r="L29" s="27">
        <v>0</v>
      </c>
      <c r="M29" s="25" t="s">
        <v>9</v>
      </c>
      <c r="N29" s="26">
        <v>7.0000000000000007E-2</v>
      </c>
      <c r="O29" s="26">
        <v>0.05</v>
      </c>
      <c r="P29" s="26">
        <v>0.6</v>
      </c>
      <c r="Q29" s="25" t="s">
        <v>9</v>
      </c>
      <c r="R29" s="27">
        <v>0</v>
      </c>
      <c r="S29" s="27">
        <v>0</v>
      </c>
      <c r="T29" s="27">
        <v>0</v>
      </c>
      <c r="U29" s="25" t="s">
        <v>9</v>
      </c>
    </row>
    <row r="30" spans="1:21" x14ac:dyDescent="0.3">
      <c r="A30" s="24" t="s">
        <v>164</v>
      </c>
      <c r="B30" s="24" t="s">
        <v>407</v>
      </c>
      <c r="C30" s="24" t="s">
        <v>56</v>
      </c>
      <c r="D30" s="24" t="s">
        <v>32</v>
      </c>
      <c r="E30" s="26">
        <v>1</v>
      </c>
      <c r="F30" s="26">
        <v>9.5500000000000007</v>
      </c>
      <c r="G30" s="26">
        <v>4.7750000000000004</v>
      </c>
      <c r="H30" s="26">
        <v>14.324999999999999</v>
      </c>
      <c r="I30" s="24" t="s">
        <v>9</v>
      </c>
      <c r="J30" s="26">
        <v>5.9999999999999995E-4</v>
      </c>
      <c r="K30" s="26">
        <v>2.9999999999999997E-4</v>
      </c>
      <c r="L30" s="26">
        <v>1.1999999999999999E-3</v>
      </c>
      <c r="M30" s="24" t="s">
        <v>9</v>
      </c>
      <c r="N30" s="27">
        <v>0.23</v>
      </c>
      <c r="O30" s="27">
        <v>0.02</v>
      </c>
      <c r="P30" s="27">
        <v>0.66</v>
      </c>
      <c r="Q30" s="24" t="s">
        <v>9</v>
      </c>
      <c r="R30" s="26">
        <v>0</v>
      </c>
      <c r="S30" s="26">
        <v>0</v>
      </c>
      <c r="T30" s="26">
        <v>0</v>
      </c>
      <c r="U30" s="24" t="s">
        <v>9</v>
      </c>
    </row>
    <row r="31" spans="1:21" x14ac:dyDescent="0.3">
      <c r="A31" s="25" t="s">
        <v>164</v>
      </c>
      <c r="B31" s="25" t="s">
        <v>407</v>
      </c>
      <c r="C31" s="25" t="s">
        <v>56</v>
      </c>
      <c r="D31" s="25" t="s">
        <v>23</v>
      </c>
      <c r="E31" s="27">
        <v>27</v>
      </c>
      <c r="F31" s="27">
        <v>0.47</v>
      </c>
      <c r="G31" s="27">
        <v>0.23499999999999999</v>
      </c>
      <c r="H31" s="27">
        <v>0.70499999999999996</v>
      </c>
      <c r="I31" s="25" t="s">
        <v>9</v>
      </c>
      <c r="J31" s="26">
        <v>6.0000000000000001E-3</v>
      </c>
      <c r="K31" s="26">
        <v>0</v>
      </c>
      <c r="L31" s="26">
        <v>2.7E-2</v>
      </c>
      <c r="M31" s="25" t="s">
        <v>9</v>
      </c>
      <c r="N31" s="27">
        <v>0.21</v>
      </c>
      <c r="O31" s="27">
        <v>0</v>
      </c>
      <c r="P31" s="27">
        <v>0.31</v>
      </c>
      <c r="Q31" s="25" t="s">
        <v>9</v>
      </c>
      <c r="R31" s="26">
        <v>0.24</v>
      </c>
      <c r="S31" s="26">
        <v>0.01</v>
      </c>
      <c r="T31" s="26">
        <v>0.73</v>
      </c>
      <c r="U31" s="25" t="s">
        <v>9</v>
      </c>
    </row>
    <row r="32" spans="1:21" x14ac:dyDescent="0.3">
      <c r="A32" s="24" t="s">
        <v>164</v>
      </c>
      <c r="B32" s="24" t="s">
        <v>407</v>
      </c>
      <c r="C32" s="24" t="s">
        <v>408</v>
      </c>
      <c r="D32" s="24" t="s">
        <v>31</v>
      </c>
      <c r="E32" s="26">
        <v>5</v>
      </c>
      <c r="F32" s="26">
        <v>78.75</v>
      </c>
      <c r="G32" s="26">
        <v>39.375</v>
      </c>
      <c r="H32" s="26">
        <v>100</v>
      </c>
      <c r="I32" s="24" t="s">
        <v>9</v>
      </c>
      <c r="J32" s="26">
        <v>0</v>
      </c>
      <c r="K32" s="26">
        <v>0</v>
      </c>
      <c r="L32" s="26">
        <v>0</v>
      </c>
      <c r="M32" s="24" t="s">
        <v>9</v>
      </c>
      <c r="N32" s="26">
        <v>0.35</v>
      </c>
      <c r="O32" s="26">
        <v>0.2</v>
      </c>
      <c r="P32" s="26">
        <v>0.8</v>
      </c>
      <c r="Q32" s="24" t="s">
        <v>9</v>
      </c>
      <c r="R32" s="26">
        <v>0</v>
      </c>
      <c r="S32" s="26">
        <v>0</v>
      </c>
      <c r="T32" s="26">
        <v>0</v>
      </c>
      <c r="U32" s="24" t="s">
        <v>9</v>
      </c>
    </row>
    <row r="33" spans="1:21" x14ac:dyDescent="0.3">
      <c r="A33" s="25" t="s">
        <v>164</v>
      </c>
      <c r="B33" s="25" t="s">
        <v>407</v>
      </c>
      <c r="C33" s="24" t="s">
        <v>408</v>
      </c>
      <c r="D33" s="25" t="s">
        <v>29</v>
      </c>
      <c r="E33" s="27">
        <v>4</v>
      </c>
      <c r="F33" s="27">
        <v>77.81</v>
      </c>
      <c r="G33" s="27">
        <v>38.905000000000001</v>
      </c>
      <c r="H33" s="26">
        <v>100</v>
      </c>
      <c r="I33" s="25" t="s">
        <v>9</v>
      </c>
      <c r="J33" s="27">
        <v>5.0000000000000001E-3</v>
      </c>
      <c r="K33" s="27">
        <v>2.5000000000000001E-3</v>
      </c>
      <c r="L33" s="27">
        <v>0.01</v>
      </c>
      <c r="M33" s="25" t="s">
        <v>9</v>
      </c>
      <c r="N33" s="27">
        <v>0.48</v>
      </c>
      <c r="O33" s="27">
        <v>0.15</v>
      </c>
      <c r="P33" s="27">
        <v>0.6</v>
      </c>
      <c r="Q33" s="25" t="s">
        <v>9</v>
      </c>
      <c r="R33" s="27">
        <v>0</v>
      </c>
      <c r="S33" s="27">
        <v>0</v>
      </c>
      <c r="T33" s="27">
        <v>0</v>
      </c>
      <c r="U33" s="25" t="s">
        <v>9</v>
      </c>
    </row>
    <row r="34" spans="1:21" x14ac:dyDescent="0.3">
      <c r="A34" s="24" t="s">
        <v>164</v>
      </c>
      <c r="B34" s="24" t="s">
        <v>407</v>
      </c>
      <c r="C34" s="24" t="s">
        <v>408</v>
      </c>
      <c r="D34" s="24" t="s">
        <v>25</v>
      </c>
      <c r="E34" s="26">
        <v>50</v>
      </c>
      <c r="F34" s="26">
        <v>5</v>
      </c>
      <c r="G34" s="26">
        <v>2.5</v>
      </c>
      <c r="H34" s="26">
        <v>7.5</v>
      </c>
      <c r="I34" s="24" t="s">
        <v>9</v>
      </c>
      <c r="J34" s="26">
        <v>5.0000000000000001E-3</v>
      </c>
      <c r="K34" s="26">
        <v>2.5000000000000001E-3</v>
      </c>
      <c r="L34" s="26">
        <v>0.01</v>
      </c>
      <c r="M34" s="24" t="s">
        <v>9</v>
      </c>
      <c r="N34" s="26">
        <v>0.3</v>
      </c>
      <c r="O34" s="26">
        <v>0.1</v>
      </c>
      <c r="P34" s="26">
        <v>0.4</v>
      </c>
      <c r="Q34" s="24" t="s">
        <v>9</v>
      </c>
      <c r="R34" s="26">
        <v>0.02</v>
      </c>
      <c r="S34" s="26">
        <v>0.01</v>
      </c>
      <c r="T34" s="26">
        <v>0.03</v>
      </c>
      <c r="U34" s="24" t="s">
        <v>9</v>
      </c>
    </row>
    <row r="35" spans="1:21" x14ac:dyDescent="0.3">
      <c r="A35" s="25" t="s">
        <v>164</v>
      </c>
      <c r="B35" s="25" t="s">
        <v>407</v>
      </c>
      <c r="C35" s="24" t="s">
        <v>408</v>
      </c>
      <c r="D35" s="25" t="s">
        <v>27</v>
      </c>
      <c r="E35" s="27">
        <v>8</v>
      </c>
      <c r="F35" s="27">
        <v>2</v>
      </c>
      <c r="G35" s="27">
        <v>1</v>
      </c>
      <c r="H35" s="27">
        <v>3</v>
      </c>
      <c r="I35" s="25" t="s">
        <v>9</v>
      </c>
      <c r="J35" s="27">
        <v>0.02</v>
      </c>
      <c r="K35" s="27">
        <v>0.01</v>
      </c>
      <c r="L35" s="27">
        <v>0.04</v>
      </c>
      <c r="M35" s="25" t="s">
        <v>9</v>
      </c>
      <c r="N35" s="27">
        <v>0.3</v>
      </c>
      <c r="O35" s="27">
        <v>0.2</v>
      </c>
      <c r="P35" s="27">
        <v>0.5</v>
      </c>
      <c r="Q35" s="25" t="s">
        <v>9</v>
      </c>
      <c r="R35" s="27">
        <v>3.5000000000000003E-2</v>
      </c>
      <c r="S35" s="27">
        <v>0</v>
      </c>
      <c r="T35" s="27">
        <v>7.0000000000000007E-2</v>
      </c>
      <c r="U35" s="25" t="s">
        <v>9</v>
      </c>
    </row>
    <row r="36" spans="1:21" x14ac:dyDescent="0.3">
      <c r="A36" s="24" t="s">
        <v>164</v>
      </c>
      <c r="B36" s="24" t="s">
        <v>407</v>
      </c>
      <c r="C36" s="24" t="s">
        <v>408</v>
      </c>
      <c r="D36" s="24" t="s">
        <v>24</v>
      </c>
      <c r="E36" s="26">
        <v>5</v>
      </c>
      <c r="F36" s="26">
        <v>1</v>
      </c>
      <c r="G36" s="26">
        <v>0.5</v>
      </c>
      <c r="H36" s="26">
        <v>1.5</v>
      </c>
      <c r="I36" s="24" t="s">
        <v>9</v>
      </c>
      <c r="J36" s="26">
        <v>0</v>
      </c>
      <c r="K36" s="26">
        <v>0</v>
      </c>
      <c r="L36" s="26">
        <v>0</v>
      </c>
      <c r="M36" s="24" t="s">
        <v>9</v>
      </c>
      <c r="N36" s="26">
        <v>7.0000000000000007E-2</v>
      </c>
      <c r="O36" s="26">
        <v>0.05</v>
      </c>
      <c r="P36" s="26">
        <v>0.6</v>
      </c>
      <c r="Q36" s="24" t="s">
        <v>9</v>
      </c>
      <c r="R36" s="26">
        <v>0</v>
      </c>
      <c r="S36" s="26">
        <v>0</v>
      </c>
      <c r="T36" s="26">
        <v>0</v>
      </c>
      <c r="U36" s="24" t="s">
        <v>9</v>
      </c>
    </row>
    <row r="37" spans="1:21" x14ac:dyDescent="0.3">
      <c r="A37" s="25" t="s">
        <v>164</v>
      </c>
      <c r="B37" s="25" t="s">
        <v>407</v>
      </c>
      <c r="C37" s="24" t="s">
        <v>408</v>
      </c>
      <c r="D37" s="25" t="s">
        <v>32</v>
      </c>
      <c r="E37" s="27">
        <v>1</v>
      </c>
      <c r="F37" s="27">
        <v>9.5500000000000007</v>
      </c>
      <c r="G37" s="27">
        <v>4.7750000000000004</v>
      </c>
      <c r="H37" s="27">
        <v>14.324999999999999</v>
      </c>
      <c r="I37" s="25" t="s">
        <v>9</v>
      </c>
      <c r="J37" s="27">
        <v>5.9999999999999995E-4</v>
      </c>
      <c r="K37" s="27">
        <v>2.9999999999999997E-4</v>
      </c>
      <c r="L37" s="27">
        <v>1.1999999999999999E-3</v>
      </c>
      <c r="M37" s="25" t="s">
        <v>9</v>
      </c>
      <c r="N37" s="27">
        <v>0.23</v>
      </c>
      <c r="O37" s="27">
        <v>0.02</v>
      </c>
      <c r="P37" s="27">
        <v>0.66</v>
      </c>
      <c r="Q37" s="25" t="s">
        <v>9</v>
      </c>
      <c r="R37" s="27">
        <v>0</v>
      </c>
      <c r="S37" s="27">
        <v>0</v>
      </c>
      <c r="T37" s="27">
        <v>0</v>
      </c>
      <c r="U37" s="25" t="s">
        <v>9</v>
      </c>
    </row>
    <row r="38" spans="1:21" x14ac:dyDescent="0.3">
      <c r="A38" s="24" t="s">
        <v>164</v>
      </c>
      <c r="B38" s="24" t="s">
        <v>407</v>
      </c>
      <c r="C38" s="24" t="s">
        <v>408</v>
      </c>
      <c r="D38" s="24" t="s">
        <v>23</v>
      </c>
      <c r="E38" s="26">
        <v>27</v>
      </c>
      <c r="F38" s="26">
        <v>0.47</v>
      </c>
      <c r="G38" s="26">
        <v>0.23499999999999999</v>
      </c>
      <c r="H38" s="26">
        <v>0.70499999999999996</v>
      </c>
      <c r="I38" s="24" t="s">
        <v>9</v>
      </c>
      <c r="J38" s="26">
        <v>6.0000000000000001E-3</v>
      </c>
      <c r="K38" s="26">
        <v>0</v>
      </c>
      <c r="L38" s="26">
        <v>2.7E-2</v>
      </c>
      <c r="M38" s="24" t="s">
        <v>9</v>
      </c>
      <c r="N38" s="27">
        <v>0.21</v>
      </c>
      <c r="O38" s="27">
        <v>0</v>
      </c>
      <c r="P38" s="27">
        <v>0.31</v>
      </c>
      <c r="Q38" s="24" t="s">
        <v>9</v>
      </c>
      <c r="R38" s="26">
        <v>0.24</v>
      </c>
      <c r="S38" s="26">
        <v>0.01</v>
      </c>
      <c r="T38" s="26">
        <v>0.73</v>
      </c>
      <c r="U38" s="24" t="s">
        <v>9</v>
      </c>
    </row>
    <row r="39" spans="1:21" x14ac:dyDescent="0.3">
      <c r="A39" s="2"/>
      <c r="B39" s="2"/>
      <c r="C39" s="6"/>
      <c r="D39" s="3"/>
      <c r="E39" s="2"/>
      <c r="F39" s="2"/>
      <c r="G39" s="6"/>
      <c r="H39" s="6"/>
      <c r="I39" s="3"/>
      <c r="J39" s="2"/>
      <c r="K39" s="6"/>
      <c r="L39" s="6"/>
      <c r="M39" s="3"/>
      <c r="N39" s="2"/>
      <c r="O39" s="6"/>
      <c r="P39" s="6"/>
      <c r="Q39" s="3"/>
      <c r="R39" s="2"/>
      <c r="S39" s="6"/>
      <c r="T39" s="6"/>
      <c r="U39" s="3"/>
    </row>
    <row r="40" spans="1:21" x14ac:dyDescent="0.3">
      <c r="A40" s="2"/>
      <c r="B40" s="2"/>
      <c r="C40" s="6"/>
      <c r="D40" s="3"/>
      <c r="E40" s="2"/>
      <c r="F40" s="2"/>
      <c r="G40" s="6"/>
      <c r="H40" s="6"/>
      <c r="I40" s="3"/>
      <c r="J40" s="2"/>
      <c r="K40" s="6"/>
      <c r="L40" s="6"/>
      <c r="M40" s="3"/>
      <c r="N40" s="2"/>
      <c r="O40" s="6"/>
      <c r="P40" s="6"/>
      <c r="Q40" s="3"/>
      <c r="R40" s="2"/>
      <c r="S40" s="6"/>
      <c r="T40" s="6"/>
      <c r="U40" s="3"/>
    </row>
    <row r="41" spans="1:21" x14ac:dyDescent="0.3">
      <c r="A41" s="2"/>
      <c r="B41" s="2"/>
      <c r="C41" s="6"/>
      <c r="D41" s="3"/>
      <c r="E41" s="2"/>
      <c r="F41" s="2"/>
      <c r="G41" s="6"/>
      <c r="H41" s="6"/>
      <c r="I41" s="3"/>
      <c r="J41" s="2"/>
      <c r="K41" s="6"/>
      <c r="L41" s="6"/>
      <c r="M41" s="3"/>
      <c r="N41" s="2"/>
      <c r="O41" s="6"/>
      <c r="P41" s="6"/>
      <c r="Q41" s="3"/>
      <c r="R41" s="2"/>
      <c r="S41" s="6"/>
      <c r="T41" s="6"/>
      <c r="U41" s="3"/>
    </row>
    <row r="42" spans="1:21" x14ac:dyDescent="0.3">
      <c r="A42" s="2"/>
      <c r="B42" s="2"/>
      <c r="C42" s="6"/>
      <c r="D42" s="3"/>
      <c r="E42" s="2"/>
      <c r="F42" s="2"/>
      <c r="G42" s="6"/>
      <c r="H42" s="6"/>
      <c r="I42" s="3"/>
      <c r="J42" s="2"/>
      <c r="K42" s="6"/>
      <c r="L42" s="6"/>
      <c r="M42" s="3"/>
      <c r="N42" s="2"/>
      <c r="O42" s="6"/>
      <c r="P42" s="6"/>
      <c r="Q42" s="3"/>
      <c r="R42" s="2"/>
      <c r="S42" s="6"/>
      <c r="T42" s="6"/>
      <c r="U42" s="3"/>
    </row>
    <row r="43" spans="1:21" x14ac:dyDescent="0.3">
      <c r="A43" s="2"/>
      <c r="B43" s="2"/>
      <c r="C43" s="6"/>
      <c r="D43" s="3"/>
      <c r="E43" s="2"/>
      <c r="F43" s="2"/>
      <c r="G43" s="6"/>
      <c r="H43" s="6"/>
      <c r="I43" s="3"/>
      <c r="J43" s="2"/>
      <c r="K43" s="6"/>
      <c r="L43" s="6"/>
      <c r="M43" s="3"/>
      <c r="N43" s="2"/>
      <c r="O43" s="6"/>
      <c r="P43" s="6"/>
      <c r="Q43" s="3"/>
      <c r="R43" s="2"/>
      <c r="S43" s="6"/>
      <c r="T43" s="6"/>
      <c r="U43" s="3"/>
    </row>
    <row r="44" spans="1:21" x14ac:dyDescent="0.3">
      <c r="A44" s="2"/>
      <c r="B44" s="2"/>
      <c r="C44" s="6"/>
      <c r="D44" s="3"/>
      <c r="E44" s="2"/>
      <c r="F44" s="2"/>
      <c r="G44" s="6"/>
      <c r="H44" s="6"/>
      <c r="I44" s="3"/>
      <c r="J44" s="2"/>
      <c r="K44" s="6"/>
      <c r="L44" s="6"/>
      <c r="M44" s="3"/>
      <c r="N44" s="2"/>
      <c r="O44" s="6"/>
      <c r="P44" s="6"/>
      <c r="Q44" s="3"/>
      <c r="R44" s="2"/>
      <c r="S44" s="6"/>
      <c r="T44" s="6"/>
      <c r="U44" s="3"/>
    </row>
    <row r="45" spans="1:21" x14ac:dyDescent="0.3">
      <c r="A45" s="2"/>
      <c r="B45" s="2"/>
      <c r="C45" s="6"/>
      <c r="D45" s="3"/>
      <c r="E45" s="2"/>
      <c r="F45" s="2"/>
      <c r="G45" s="6"/>
      <c r="H45" s="6"/>
      <c r="I45" s="3"/>
      <c r="J45" s="2"/>
      <c r="K45" s="6"/>
      <c r="L45" s="6"/>
      <c r="M45" s="3"/>
      <c r="N45" s="2"/>
      <c r="O45" s="6"/>
      <c r="P45" s="6"/>
      <c r="Q45" s="3"/>
      <c r="R45" s="2"/>
      <c r="S45" s="6"/>
      <c r="T45" s="6"/>
      <c r="U45" s="3"/>
    </row>
    <row r="46" spans="1:21" x14ac:dyDescent="0.3">
      <c r="A46" s="2"/>
      <c r="B46" s="2"/>
      <c r="C46" s="6"/>
      <c r="D46" s="3"/>
      <c r="E46" s="2"/>
      <c r="F46" s="2"/>
      <c r="G46" s="6"/>
      <c r="H46" s="6"/>
      <c r="I46" s="3"/>
      <c r="J46" s="2"/>
      <c r="K46" s="6"/>
      <c r="L46" s="6"/>
      <c r="M46" s="3"/>
      <c r="N46" s="2"/>
      <c r="O46" s="6"/>
      <c r="P46" s="6"/>
      <c r="Q46" s="3"/>
      <c r="R46" s="2"/>
      <c r="S46" s="6"/>
      <c r="T46" s="6"/>
      <c r="U46" s="3"/>
    </row>
    <row r="47" spans="1:21" x14ac:dyDescent="0.3">
      <c r="A47" s="2"/>
      <c r="B47" s="2"/>
      <c r="C47" s="6"/>
      <c r="D47" s="3"/>
      <c r="E47" s="2"/>
      <c r="F47" s="2"/>
      <c r="G47" s="6"/>
      <c r="H47" s="6"/>
      <c r="I47" s="3"/>
      <c r="J47" s="2"/>
      <c r="K47" s="6"/>
      <c r="L47" s="6"/>
      <c r="M47" s="3"/>
      <c r="N47" s="2"/>
      <c r="O47" s="6"/>
      <c r="P47" s="6"/>
      <c r="Q47" s="3"/>
      <c r="R47" s="2"/>
      <c r="S47" s="6"/>
      <c r="T47" s="6"/>
      <c r="U47" s="3"/>
    </row>
    <row r="48" spans="1:21" x14ac:dyDescent="0.3">
      <c r="A48" s="2"/>
      <c r="B48" s="2"/>
      <c r="C48" s="6"/>
      <c r="D48" s="3"/>
      <c r="E48" s="2"/>
      <c r="F48" s="2"/>
      <c r="G48" s="6"/>
      <c r="H48" s="6"/>
      <c r="I48" s="3"/>
      <c r="J48" s="2"/>
      <c r="K48" s="6"/>
      <c r="L48" s="6"/>
      <c r="M48" s="3"/>
      <c r="N48" s="2"/>
      <c r="O48" s="6"/>
      <c r="P48" s="6"/>
      <c r="Q48" s="3"/>
      <c r="R48" s="2"/>
      <c r="S48" s="6"/>
      <c r="T48" s="6"/>
      <c r="U48" s="3"/>
    </row>
    <row r="49" spans="1:21" x14ac:dyDescent="0.3">
      <c r="A49" s="2"/>
      <c r="B49" s="2"/>
      <c r="C49" s="6"/>
      <c r="D49" s="3"/>
      <c r="E49" s="2"/>
      <c r="F49" s="2"/>
      <c r="G49" s="6"/>
      <c r="H49" s="6"/>
      <c r="I49" s="3"/>
      <c r="J49" s="2"/>
      <c r="K49" s="6"/>
      <c r="L49" s="6"/>
      <c r="M49" s="3"/>
      <c r="N49" s="2"/>
      <c r="O49" s="6"/>
      <c r="P49" s="6"/>
      <c r="Q49" s="3"/>
      <c r="R49" s="2"/>
      <c r="S49" s="6"/>
      <c r="T49" s="6"/>
      <c r="U49" s="3"/>
    </row>
    <row r="50" spans="1:21" x14ac:dyDescent="0.3">
      <c r="A50" s="2"/>
      <c r="B50" s="2"/>
      <c r="C50" s="6"/>
      <c r="D50" s="3"/>
      <c r="E50" s="2"/>
      <c r="F50" s="2"/>
      <c r="G50" s="6"/>
      <c r="H50" s="6"/>
      <c r="I50" s="3"/>
      <c r="J50" s="2"/>
      <c r="K50" s="6"/>
      <c r="L50" s="6"/>
      <c r="M50" s="3"/>
      <c r="N50" s="2"/>
      <c r="O50" s="6"/>
      <c r="P50" s="6"/>
      <c r="Q50" s="3"/>
      <c r="R50" s="2"/>
      <c r="S50" s="6"/>
      <c r="T50" s="6"/>
      <c r="U50" s="3"/>
    </row>
    <row r="51" spans="1:21" x14ac:dyDescent="0.3">
      <c r="A51" s="2"/>
      <c r="B51" s="2"/>
      <c r="C51" s="6"/>
      <c r="D51" s="3"/>
      <c r="E51" s="2"/>
      <c r="F51" s="2"/>
      <c r="G51" s="6"/>
      <c r="H51" s="6"/>
      <c r="I51" s="3"/>
      <c r="J51" s="2"/>
      <c r="K51" s="6"/>
      <c r="L51" s="6"/>
      <c r="M51" s="3"/>
      <c r="N51" s="2"/>
      <c r="O51" s="6"/>
      <c r="P51" s="6"/>
      <c r="Q51" s="3"/>
      <c r="R51" s="2"/>
      <c r="S51" s="6"/>
      <c r="T51" s="6"/>
      <c r="U51" s="3"/>
    </row>
    <row r="52" spans="1:21" x14ac:dyDescent="0.3">
      <c r="A52" s="2"/>
      <c r="B52" s="2"/>
      <c r="C52" s="6"/>
      <c r="D52" s="3"/>
      <c r="E52" s="2"/>
      <c r="F52" s="2"/>
      <c r="G52" s="6"/>
      <c r="H52" s="6"/>
      <c r="I52" s="3"/>
      <c r="J52" s="2"/>
      <c r="K52" s="6"/>
      <c r="L52" s="6"/>
      <c r="M52" s="3"/>
      <c r="N52" s="2"/>
      <c r="O52" s="6"/>
      <c r="P52" s="6"/>
      <c r="Q52" s="3"/>
      <c r="R52" s="2"/>
      <c r="S52" s="6"/>
      <c r="T52" s="6"/>
      <c r="U52" s="3"/>
    </row>
    <row r="53" spans="1:21" x14ac:dyDescent="0.3">
      <c r="A53" s="2"/>
      <c r="B53" s="2"/>
      <c r="C53" s="6"/>
      <c r="D53" s="3"/>
      <c r="E53" s="2"/>
      <c r="F53" s="2"/>
      <c r="G53" s="6"/>
      <c r="H53" s="6"/>
      <c r="I53" s="3"/>
      <c r="J53" s="2"/>
      <c r="K53" s="6"/>
      <c r="L53" s="6"/>
      <c r="M53" s="3"/>
      <c r="N53" s="2"/>
      <c r="O53" s="6"/>
      <c r="P53" s="6"/>
      <c r="Q53" s="3"/>
      <c r="R53" s="2"/>
      <c r="S53" s="6"/>
      <c r="T53" s="6"/>
      <c r="U53" s="3"/>
    </row>
    <row r="54" spans="1:21" x14ac:dyDescent="0.3">
      <c r="A54" s="2"/>
      <c r="B54" s="2"/>
      <c r="C54" s="6"/>
      <c r="D54" s="3"/>
      <c r="E54" s="2"/>
      <c r="F54" s="2"/>
      <c r="G54" s="6"/>
      <c r="H54" s="6"/>
      <c r="I54" s="3"/>
      <c r="J54" s="2"/>
      <c r="K54" s="6"/>
      <c r="L54" s="6"/>
      <c r="M54" s="3"/>
      <c r="N54" s="2"/>
      <c r="O54" s="6"/>
      <c r="P54" s="6"/>
      <c r="Q54" s="3"/>
      <c r="R54" s="2"/>
      <c r="S54" s="6"/>
      <c r="T54" s="6"/>
      <c r="U54" s="3"/>
    </row>
    <row r="55" spans="1:21" x14ac:dyDescent="0.3">
      <c r="A55" s="2"/>
      <c r="B55" s="2"/>
      <c r="C55" s="6"/>
      <c r="D55" s="3"/>
      <c r="E55" s="2"/>
      <c r="F55" s="2"/>
      <c r="G55" s="6"/>
      <c r="H55" s="6"/>
      <c r="I55" s="3"/>
      <c r="J55" s="2"/>
      <c r="K55" s="6"/>
      <c r="L55" s="6"/>
      <c r="M55" s="3"/>
      <c r="N55" s="2"/>
      <c r="O55" s="6"/>
      <c r="P55" s="6"/>
      <c r="Q55" s="3"/>
      <c r="R55" s="2"/>
      <c r="S55" s="6"/>
      <c r="T55" s="6"/>
      <c r="U55" s="3"/>
    </row>
    <row r="56" spans="1:21" x14ac:dyDescent="0.3">
      <c r="A56" s="2"/>
      <c r="B56" s="2"/>
      <c r="C56" s="6"/>
      <c r="D56" s="3"/>
      <c r="E56" s="2"/>
      <c r="F56" s="2"/>
      <c r="G56" s="6"/>
      <c r="H56" s="6"/>
      <c r="I56" s="3"/>
      <c r="J56" s="2"/>
      <c r="K56" s="6"/>
      <c r="L56" s="6"/>
      <c r="M56" s="3"/>
      <c r="N56" s="2"/>
      <c r="O56" s="6"/>
      <c r="P56" s="6"/>
      <c r="Q56" s="3"/>
      <c r="R56" s="2"/>
      <c r="S56" s="6"/>
      <c r="T56" s="6"/>
      <c r="U56" s="3"/>
    </row>
    <row r="57" spans="1:21" x14ac:dyDescent="0.3">
      <c r="A57" s="2"/>
      <c r="B57" s="2"/>
      <c r="C57" s="6"/>
      <c r="D57" s="3"/>
      <c r="E57" s="2"/>
      <c r="F57" s="2"/>
      <c r="G57" s="6"/>
      <c r="H57" s="6"/>
      <c r="I57" s="3"/>
      <c r="J57" s="2"/>
      <c r="K57" s="6"/>
      <c r="L57" s="6"/>
      <c r="M57" s="3"/>
      <c r="N57" s="2"/>
      <c r="O57" s="6"/>
      <c r="P57" s="6"/>
      <c r="Q57" s="3"/>
      <c r="R57" s="2"/>
      <c r="S57" s="6"/>
      <c r="T57" s="6"/>
      <c r="U57" s="3"/>
    </row>
    <row r="58" spans="1:21" x14ac:dyDescent="0.3">
      <c r="A58" s="2"/>
      <c r="B58" s="2"/>
      <c r="C58" s="6"/>
      <c r="D58" s="3"/>
      <c r="E58" s="2"/>
      <c r="F58" s="2"/>
      <c r="G58" s="6"/>
      <c r="H58" s="6"/>
      <c r="I58" s="3"/>
      <c r="J58" s="2"/>
      <c r="K58" s="6"/>
      <c r="L58" s="6"/>
      <c r="M58" s="3"/>
      <c r="N58" s="2"/>
      <c r="O58" s="6"/>
      <c r="P58" s="6"/>
      <c r="Q58" s="3"/>
      <c r="R58" s="2"/>
      <c r="S58" s="6"/>
      <c r="T58" s="6"/>
      <c r="U58" s="3"/>
    </row>
    <row r="59" spans="1:21" x14ac:dyDescent="0.3">
      <c r="A59" s="2"/>
      <c r="B59" s="2"/>
      <c r="C59" s="6"/>
      <c r="D59" s="3"/>
      <c r="E59" s="2"/>
      <c r="F59" s="2"/>
      <c r="G59" s="6"/>
      <c r="H59" s="6"/>
      <c r="I59" s="3"/>
      <c r="J59" s="2"/>
      <c r="K59" s="6"/>
      <c r="L59" s="6"/>
      <c r="M59" s="3"/>
      <c r="N59" s="2"/>
      <c r="O59" s="6"/>
      <c r="P59" s="6"/>
      <c r="Q59" s="3"/>
      <c r="R59" s="2"/>
      <c r="S59" s="6"/>
      <c r="T59" s="6"/>
      <c r="U59" s="3"/>
    </row>
    <row r="60" spans="1:21" x14ac:dyDescent="0.3">
      <c r="A60" s="2"/>
      <c r="B60" s="2"/>
      <c r="C60" s="6"/>
      <c r="D60" s="3"/>
      <c r="E60" s="2"/>
      <c r="F60" s="2"/>
      <c r="G60" s="6"/>
      <c r="H60" s="6"/>
      <c r="I60" s="3"/>
      <c r="J60" s="2"/>
      <c r="K60" s="6"/>
      <c r="L60" s="6"/>
      <c r="M60" s="3"/>
      <c r="N60" s="2"/>
      <c r="O60" s="6"/>
      <c r="P60" s="6"/>
      <c r="Q60" s="3"/>
      <c r="R60" s="2"/>
      <c r="S60" s="6"/>
      <c r="T60" s="6"/>
      <c r="U60" s="3"/>
    </row>
    <row r="61" spans="1:21" x14ac:dyDescent="0.3">
      <c r="A61" s="2"/>
      <c r="B61" s="2"/>
      <c r="C61" s="6"/>
      <c r="D61" s="3"/>
      <c r="E61" s="2"/>
      <c r="F61" s="2"/>
      <c r="G61" s="6"/>
      <c r="H61" s="6"/>
      <c r="I61" s="3"/>
      <c r="J61" s="2"/>
      <c r="K61" s="6"/>
      <c r="L61" s="6"/>
      <c r="M61" s="3"/>
      <c r="N61" s="2"/>
      <c r="O61" s="6"/>
      <c r="P61" s="6"/>
      <c r="Q61" s="3"/>
      <c r="R61" s="2"/>
      <c r="S61" s="6"/>
      <c r="T61" s="6"/>
      <c r="U61" s="3"/>
    </row>
    <row r="62" spans="1:21" x14ac:dyDescent="0.3">
      <c r="A62" s="2"/>
      <c r="B62" s="2"/>
      <c r="C62" s="6"/>
      <c r="D62" s="3"/>
      <c r="E62" s="2"/>
      <c r="F62" s="2"/>
      <c r="G62" s="6"/>
      <c r="H62" s="6"/>
      <c r="I62" s="3"/>
      <c r="J62" s="2"/>
      <c r="K62" s="6"/>
      <c r="L62" s="6"/>
      <c r="M62" s="3"/>
      <c r="N62" s="2"/>
      <c r="O62" s="6"/>
      <c r="P62" s="6"/>
      <c r="Q62" s="3"/>
      <c r="R62" s="2"/>
      <c r="S62" s="6"/>
      <c r="T62" s="6"/>
      <c r="U62" s="3"/>
    </row>
    <row r="63" spans="1:21" x14ac:dyDescent="0.3">
      <c r="A63" s="2"/>
      <c r="B63" s="2"/>
      <c r="C63" s="6"/>
      <c r="D63" s="3"/>
      <c r="E63" s="2"/>
      <c r="F63" s="2"/>
      <c r="G63" s="6"/>
      <c r="H63" s="6"/>
      <c r="I63" s="3"/>
      <c r="J63" s="2"/>
      <c r="K63" s="6"/>
      <c r="L63" s="6"/>
      <c r="M63" s="3"/>
      <c r="N63" s="2"/>
      <c r="O63" s="6"/>
      <c r="P63" s="6"/>
      <c r="Q63" s="3"/>
      <c r="R63" s="2"/>
      <c r="S63" s="6"/>
      <c r="T63" s="6"/>
      <c r="U63" s="3"/>
    </row>
    <row r="64" spans="1:21" x14ac:dyDescent="0.3">
      <c r="A64" s="2"/>
      <c r="B64" s="2"/>
      <c r="C64" s="6"/>
      <c r="D64" s="3"/>
      <c r="E64" s="2"/>
      <c r="F64" s="2"/>
      <c r="G64" s="6"/>
      <c r="H64" s="6"/>
      <c r="I64" s="3"/>
      <c r="J64" s="2"/>
      <c r="K64" s="6"/>
      <c r="L64" s="6"/>
      <c r="M64" s="3"/>
      <c r="N64" s="2"/>
      <c r="O64" s="6"/>
      <c r="P64" s="6"/>
      <c r="Q64" s="3"/>
      <c r="R64" s="2"/>
      <c r="S64" s="6"/>
      <c r="T64" s="6"/>
      <c r="U64" s="3"/>
    </row>
    <row r="65" spans="1:21" x14ac:dyDescent="0.3">
      <c r="A65" s="2"/>
      <c r="B65" s="2"/>
      <c r="C65" s="6"/>
      <c r="D65" s="3"/>
      <c r="E65" s="2"/>
      <c r="F65" s="2"/>
      <c r="G65" s="6"/>
      <c r="H65" s="6"/>
      <c r="I65" s="3"/>
      <c r="J65" s="2"/>
      <c r="K65" s="6"/>
      <c r="L65" s="6"/>
      <c r="M65" s="3"/>
      <c r="N65" s="2"/>
      <c r="O65" s="6"/>
      <c r="P65" s="6"/>
      <c r="Q65" s="3"/>
      <c r="R65" s="2"/>
      <c r="S65" s="6"/>
      <c r="T65" s="6"/>
      <c r="U65" s="3"/>
    </row>
    <row r="66" spans="1:21" x14ac:dyDescent="0.3">
      <c r="A66" s="2"/>
      <c r="B66" s="2"/>
      <c r="C66" s="6"/>
      <c r="D66" s="3"/>
      <c r="E66" s="2"/>
      <c r="F66" s="2"/>
      <c r="G66" s="6"/>
      <c r="H66" s="6"/>
      <c r="I66" s="3"/>
      <c r="J66" s="2"/>
      <c r="K66" s="6"/>
      <c r="L66" s="6"/>
      <c r="M66" s="3"/>
      <c r="N66" s="2"/>
      <c r="O66" s="6"/>
      <c r="P66" s="6"/>
      <c r="Q66" s="3"/>
      <c r="R66" s="2"/>
      <c r="S66" s="6"/>
      <c r="T66" s="6"/>
      <c r="U66" s="3"/>
    </row>
    <row r="67" spans="1:21" x14ac:dyDescent="0.3">
      <c r="A67" s="2"/>
      <c r="B67" s="2"/>
      <c r="C67" s="6"/>
      <c r="D67" s="3"/>
      <c r="E67" s="2"/>
      <c r="F67" s="2"/>
      <c r="G67" s="6"/>
      <c r="H67" s="6"/>
      <c r="I67" s="3"/>
      <c r="J67" s="2"/>
      <c r="K67" s="6"/>
      <c r="L67" s="6"/>
      <c r="M67" s="3"/>
      <c r="N67" s="2"/>
      <c r="O67" s="6"/>
      <c r="P67" s="6"/>
      <c r="Q67" s="3"/>
      <c r="R67" s="2"/>
      <c r="S67" s="6"/>
      <c r="T67" s="6"/>
      <c r="U67" s="3"/>
    </row>
    <row r="68" spans="1:21" x14ac:dyDescent="0.3">
      <c r="A68" s="2"/>
      <c r="B68" s="2"/>
      <c r="C68" s="6"/>
      <c r="D68" s="3"/>
      <c r="E68" s="2"/>
      <c r="F68" s="2"/>
      <c r="G68" s="6"/>
      <c r="H68" s="6"/>
      <c r="I68" s="3"/>
      <c r="J68" s="2"/>
      <c r="K68" s="6"/>
      <c r="L68" s="6"/>
      <c r="M68" s="3"/>
      <c r="N68" s="2"/>
      <c r="O68" s="6"/>
      <c r="P68" s="6"/>
      <c r="Q68" s="3"/>
      <c r="R68" s="2"/>
      <c r="S68" s="6"/>
      <c r="T68" s="6"/>
      <c r="U68" s="3"/>
    </row>
    <row r="69" spans="1:21" x14ac:dyDescent="0.3">
      <c r="A69" s="2"/>
      <c r="B69" s="2"/>
      <c r="C69" s="6"/>
      <c r="D69" s="3"/>
      <c r="E69" s="2"/>
      <c r="F69" s="2"/>
      <c r="G69" s="6"/>
      <c r="H69" s="6"/>
      <c r="I69" s="3"/>
      <c r="J69" s="2"/>
      <c r="K69" s="6"/>
      <c r="L69" s="6"/>
      <c r="M69" s="3"/>
      <c r="N69" s="2"/>
      <c r="O69" s="6"/>
      <c r="P69" s="6"/>
      <c r="Q69" s="3"/>
      <c r="R69" s="2"/>
      <c r="S69" s="6"/>
      <c r="T69" s="6"/>
      <c r="U69" s="3"/>
    </row>
    <row r="70" spans="1:21" x14ac:dyDescent="0.3">
      <c r="A70" s="2"/>
      <c r="B70" s="2"/>
      <c r="C70" s="6"/>
      <c r="D70" s="3"/>
      <c r="E70" s="2"/>
      <c r="F70" s="2"/>
      <c r="G70" s="6"/>
      <c r="H70" s="6"/>
      <c r="I70" s="3"/>
      <c r="J70" s="2"/>
      <c r="K70" s="6"/>
      <c r="L70" s="6"/>
      <c r="M70" s="3"/>
      <c r="N70" s="2"/>
      <c r="O70" s="6"/>
      <c r="P70" s="6"/>
      <c r="Q70" s="3"/>
      <c r="R70" s="2"/>
      <c r="S70" s="6"/>
      <c r="T70" s="6"/>
      <c r="U70" s="3"/>
    </row>
    <row r="71" spans="1:21" x14ac:dyDescent="0.3">
      <c r="A71" s="2"/>
      <c r="B71" s="2"/>
      <c r="C71" s="6"/>
      <c r="D71" s="3"/>
      <c r="E71" s="2"/>
      <c r="F71" s="2"/>
      <c r="G71" s="6"/>
      <c r="H71" s="6"/>
      <c r="I71" s="3"/>
      <c r="J71" s="2"/>
      <c r="K71" s="6"/>
      <c r="L71" s="6"/>
      <c r="M71" s="3"/>
      <c r="N71" s="2"/>
      <c r="O71" s="6"/>
      <c r="P71" s="6"/>
      <c r="Q71" s="3"/>
      <c r="R71" s="2"/>
      <c r="S71" s="6"/>
      <c r="T71" s="6"/>
      <c r="U71" s="3"/>
    </row>
    <row r="72" spans="1:21" x14ac:dyDescent="0.3">
      <c r="A72" s="2"/>
      <c r="B72" s="2"/>
      <c r="C72" s="6"/>
      <c r="D72" s="3"/>
      <c r="E72" s="2"/>
      <c r="F72" s="2"/>
      <c r="G72" s="6"/>
      <c r="H72" s="6"/>
      <c r="I72" s="3"/>
      <c r="J72" s="2"/>
      <c r="K72" s="6"/>
      <c r="L72" s="6"/>
      <c r="M72" s="3"/>
      <c r="N72" s="2"/>
      <c r="O72" s="6"/>
      <c r="P72" s="6"/>
      <c r="Q72" s="3"/>
      <c r="R72" s="2"/>
      <c r="S72" s="6"/>
      <c r="T72" s="6"/>
      <c r="U72" s="3"/>
    </row>
    <row r="73" spans="1:21" x14ac:dyDescent="0.3">
      <c r="A73" s="2"/>
      <c r="B73" s="2"/>
      <c r="C73" s="6"/>
      <c r="D73" s="3"/>
      <c r="E73" s="2"/>
      <c r="F73" s="2"/>
      <c r="G73" s="6"/>
      <c r="H73" s="6"/>
      <c r="I73" s="3"/>
      <c r="J73" s="2"/>
      <c r="K73" s="6"/>
      <c r="L73" s="6"/>
      <c r="M73" s="3"/>
      <c r="N73" s="2"/>
      <c r="O73" s="6"/>
      <c r="P73" s="6"/>
      <c r="Q73" s="3"/>
      <c r="R73" s="2"/>
      <c r="S73" s="6"/>
      <c r="T73" s="6"/>
      <c r="U73" s="3"/>
    </row>
    <row r="74" spans="1:21" x14ac:dyDescent="0.3">
      <c r="A74" s="2"/>
      <c r="B74" s="2"/>
      <c r="C74" s="6"/>
      <c r="D74" s="3"/>
      <c r="E74" s="2"/>
      <c r="F74" s="2"/>
      <c r="G74" s="6"/>
      <c r="H74" s="6"/>
      <c r="I74" s="3"/>
      <c r="J74" s="2"/>
      <c r="K74" s="6"/>
      <c r="L74" s="6"/>
      <c r="M74" s="3"/>
      <c r="N74" s="2"/>
      <c r="O74" s="6"/>
      <c r="P74" s="6"/>
      <c r="Q74" s="3"/>
      <c r="R74" s="2"/>
      <c r="S74" s="6"/>
      <c r="T74" s="6"/>
      <c r="U74" s="3"/>
    </row>
    <row r="75" spans="1:21" x14ac:dyDescent="0.3">
      <c r="A75" s="2"/>
      <c r="B75" s="2"/>
      <c r="C75" s="6"/>
      <c r="D75" s="3"/>
      <c r="E75" s="2"/>
      <c r="F75" s="2"/>
      <c r="G75" s="6"/>
      <c r="H75" s="6"/>
      <c r="I75" s="3"/>
      <c r="J75" s="2"/>
      <c r="K75" s="6"/>
      <c r="L75" s="6"/>
      <c r="M75" s="3"/>
      <c r="N75" s="2"/>
      <c r="O75" s="6"/>
      <c r="P75" s="6"/>
      <c r="Q75" s="3"/>
      <c r="R75" s="2"/>
      <c r="S75" s="6"/>
      <c r="T75" s="6"/>
      <c r="U75" s="3"/>
    </row>
    <row r="76" spans="1:21" x14ac:dyDescent="0.3">
      <c r="A76" s="2"/>
      <c r="B76" s="2"/>
      <c r="C76" s="6"/>
      <c r="D76" s="3"/>
      <c r="E76" s="2"/>
      <c r="F76" s="2"/>
      <c r="G76" s="6"/>
      <c r="H76" s="6"/>
      <c r="I76" s="3"/>
      <c r="J76" s="2"/>
      <c r="K76" s="6"/>
      <c r="L76" s="6"/>
      <c r="M76" s="3"/>
      <c r="N76" s="2"/>
      <c r="O76" s="6"/>
      <c r="P76" s="6"/>
      <c r="Q76" s="3"/>
      <c r="R76" s="2"/>
      <c r="S76" s="6"/>
      <c r="T76" s="6"/>
      <c r="U76" s="3"/>
    </row>
    <row r="77" spans="1:21" x14ac:dyDescent="0.3">
      <c r="A77" s="2"/>
      <c r="B77" s="2"/>
      <c r="C77" s="6"/>
      <c r="D77" s="3"/>
      <c r="E77" s="2"/>
      <c r="F77" s="2"/>
      <c r="G77" s="6"/>
      <c r="H77" s="6"/>
      <c r="I77" s="3"/>
      <c r="J77" s="2"/>
      <c r="K77" s="6"/>
      <c r="L77" s="6"/>
      <c r="M77" s="3"/>
      <c r="N77" s="2"/>
      <c r="O77" s="6"/>
      <c r="P77" s="6"/>
      <c r="Q77" s="3"/>
      <c r="R77" s="2"/>
      <c r="S77" s="6"/>
      <c r="T77" s="6"/>
      <c r="U77" s="3"/>
    </row>
    <row r="78" spans="1:21" x14ac:dyDescent="0.3">
      <c r="A78" s="2"/>
      <c r="B78" s="2"/>
      <c r="C78" s="6"/>
      <c r="D78" s="3"/>
      <c r="E78" s="2"/>
      <c r="F78" s="2"/>
      <c r="G78" s="6"/>
      <c r="H78" s="6"/>
      <c r="I78" s="3"/>
      <c r="J78" s="2"/>
      <c r="K78" s="6"/>
      <c r="L78" s="6"/>
      <c r="M78" s="3"/>
      <c r="N78" s="2"/>
      <c r="O78" s="6"/>
      <c r="P78" s="6"/>
      <c r="Q78" s="3"/>
      <c r="R78" s="2"/>
      <c r="S78" s="6"/>
      <c r="T78" s="6"/>
      <c r="U78" s="3"/>
    </row>
    <row r="79" spans="1:21" x14ac:dyDescent="0.3">
      <c r="A79" s="2"/>
      <c r="B79" s="2"/>
      <c r="C79" s="6"/>
      <c r="D79" s="3"/>
      <c r="E79" s="2"/>
      <c r="F79" s="2"/>
      <c r="G79" s="6"/>
      <c r="H79" s="6"/>
      <c r="I79" s="3"/>
      <c r="J79" s="2"/>
      <c r="K79" s="6"/>
      <c r="L79" s="6"/>
      <c r="M79" s="3"/>
      <c r="N79" s="2"/>
      <c r="O79" s="6"/>
      <c r="P79" s="6"/>
      <c r="Q79" s="3"/>
      <c r="R79" s="2"/>
      <c r="S79" s="6"/>
      <c r="T79" s="6"/>
      <c r="U79" s="3"/>
    </row>
    <row r="80" spans="1:21" x14ac:dyDescent="0.3">
      <c r="A80" s="2"/>
      <c r="B80" s="2"/>
      <c r="C80" s="6"/>
      <c r="D80" s="3"/>
      <c r="E80" s="2"/>
      <c r="F80" s="2"/>
      <c r="G80" s="6"/>
      <c r="H80" s="6"/>
      <c r="I80" s="3"/>
      <c r="J80" s="2"/>
      <c r="K80" s="6"/>
      <c r="L80" s="6"/>
      <c r="M80" s="3"/>
      <c r="N80" s="2"/>
      <c r="O80" s="6"/>
      <c r="P80" s="6"/>
      <c r="Q80" s="3"/>
      <c r="R80" s="2"/>
      <c r="S80" s="6"/>
      <c r="T80" s="6"/>
      <c r="U80" s="3"/>
    </row>
    <row r="81" spans="1:21" x14ac:dyDescent="0.3">
      <c r="A81" s="2"/>
      <c r="B81" s="2"/>
      <c r="C81" s="6"/>
      <c r="D81" s="3"/>
      <c r="E81" s="2"/>
      <c r="F81" s="2"/>
      <c r="G81" s="6"/>
      <c r="H81" s="6"/>
      <c r="I81" s="3"/>
      <c r="J81" s="2"/>
      <c r="K81" s="6"/>
      <c r="L81" s="6"/>
      <c r="M81" s="3"/>
      <c r="N81" s="2"/>
      <c r="O81" s="6"/>
      <c r="P81" s="6"/>
      <c r="Q81" s="3"/>
      <c r="R81" s="2"/>
      <c r="S81" s="6"/>
      <c r="T81" s="6"/>
      <c r="U81" s="3"/>
    </row>
    <row r="82" spans="1:21" x14ac:dyDescent="0.3">
      <c r="A82" s="2"/>
      <c r="B82" s="2"/>
      <c r="C82" s="6"/>
      <c r="D82" s="3"/>
      <c r="E82" s="2"/>
      <c r="F82" s="2"/>
      <c r="G82" s="6"/>
      <c r="H82" s="6"/>
      <c r="I82" s="3"/>
      <c r="J82" s="2"/>
      <c r="K82" s="6"/>
      <c r="L82" s="6"/>
      <c r="M82" s="3"/>
      <c r="N82" s="2"/>
      <c r="O82" s="6"/>
      <c r="P82" s="6"/>
      <c r="Q82" s="3"/>
      <c r="R82" s="2"/>
      <c r="S82" s="6"/>
      <c r="T82" s="6"/>
      <c r="U82" s="3"/>
    </row>
    <row r="83" spans="1:21" x14ac:dyDescent="0.3">
      <c r="A83" s="2"/>
      <c r="B83" s="2"/>
      <c r="C83" s="6"/>
      <c r="D83" s="3"/>
      <c r="E83" s="2"/>
      <c r="F83" s="2"/>
      <c r="G83" s="6"/>
      <c r="H83" s="6"/>
      <c r="I83" s="3"/>
      <c r="J83" s="2"/>
      <c r="K83" s="6"/>
      <c r="L83" s="6"/>
      <c r="M83" s="3"/>
      <c r="N83" s="2"/>
      <c r="O83" s="6"/>
      <c r="P83" s="6"/>
      <c r="Q83" s="3"/>
      <c r="R83" s="2"/>
      <c r="S83" s="6"/>
      <c r="T83" s="6"/>
      <c r="U83" s="3"/>
    </row>
    <row r="84" spans="1:21" x14ac:dyDescent="0.3">
      <c r="A84" s="2"/>
      <c r="B84" s="2"/>
      <c r="C84" s="6"/>
      <c r="D84" s="3"/>
      <c r="E84" s="2"/>
      <c r="F84" s="2"/>
      <c r="G84" s="6"/>
      <c r="H84" s="6"/>
      <c r="I84" s="3"/>
      <c r="J84" s="2"/>
      <c r="K84" s="6"/>
      <c r="L84" s="6"/>
      <c r="M84" s="3"/>
      <c r="N84" s="2"/>
      <c r="O84" s="6"/>
      <c r="P84" s="6"/>
      <c r="Q84" s="3"/>
      <c r="R84" s="2"/>
      <c r="S84" s="6"/>
      <c r="T84" s="6"/>
      <c r="U84" s="3"/>
    </row>
    <row r="85" spans="1:21" x14ac:dyDescent="0.3">
      <c r="A85" s="2"/>
      <c r="B85" s="2"/>
      <c r="C85" s="6"/>
      <c r="D85" s="3"/>
      <c r="E85" s="2"/>
      <c r="F85" s="2"/>
      <c r="G85" s="6"/>
      <c r="H85" s="6"/>
      <c r="I85" s="3"/>
      <c r="J85" s="2"/>
      <c r="K85" s="6"/>
      <c r="L85" s="6"/>
      <c r="M85" s="3"/>
      <c r="N85" s="2"/>
      <c r="O85" s="6"/>
      <c r="P85" s="6"/>
      <c r="Q85" s="3"/>
      <c r="R85" s="2"/>
      <c r="S85" s="6"/>
      <c r="T85" s="6"/>
      <c r="U85" s="3"/>
    </row>
    <row r="86" spans="1:21" x14ac:dyDescent="0.3">
      <c r="A86" s="2"/>
      <c r="B86" s="2"/>
      <c r="C86" s="6"/>
      <c r="D86" s="3"/>
      <c r="E86" s="2"/>
      <c r="F86" s="2"/>
      <c r="G86" s="6"/>
      <c r="H86" s="6"/>
      <c r="I86" s="3"/>
      <c r="J86" s="2"/>
      <c r="K86" s="6"/>
      <c r="L86" s="6"/>
      <c r="M86" s="3"/>
      <c r="N86" s="2"/>
      <c r="O86" s="6"/>
      <c r="P86" s="6"/>
      <c r="Q86" s="3"/>
      <c r="R86" s="2"/>
      <c r="S86" s="6"/>
      <c r="T86" s="6"/>
      <c r="U86" s="3"/>
    </row>
    <row r="87" spans="1:21" x14ac:dyDescent="0.3">
      <c r="A87" s="2"/>
      <c r="B87" s="2"/>
      <c r="C87" s="6"/>
      <c r="D87" s="3"/>
      <c r="E87" s="2"/>
      <c r="F87" s="2"/>
      <c r="G87" s="6"/>
      <c r="H87" s="6"/>
      <c r="I87" s="3"/>
      <c r="J87" s="2"/>
      <c r="K87" s="6"/>
      <c r="L87" s="6"/>
      <c r="M87" s="3"/>
      <c r="N87" s="2"/>
      <c r="O87" s="6"/>
      <c r="P87" s="6"/>
      <c r="Q87" s="3"/>
      <c r="R87" s="2"/>
      <c r="S87" s="6"/>
      <c r="T87" s="6"/>
      <c r="U87" s="3"/>
    </row>
    <row r="88" spans="1:21" x14ac:dyDescent="0.3">
      <c r="A88" s="2"/>
      <c r="B88" s="2"/>
      <c r="C88" s="6"/>
      <c r="D88" s="3"/>
      <c r="E88" s="2"/>
      <c r="F88" s="2"/>
      <c r="G88" s="6"/>
      <c r="H88" s="6"/>
      <c r="I88" s="3"/>
      <c r="J88" s="2"/>
      <c r="K88" s="6"/>
      <c r="L88" s="6"/>
      <c r="M88" s="3"/>
      <c r="N88" s="2"/>
      <c r="O88" s="6"/>
      <c r="P88" s="6"/>
      <c r="Q88" s="3"/>
      <c r="R88" s="2"/>
      <c r="S88" s="6"/>
      <c r="T88" s="6"/>
      <c r="U88" s="3"/>
    </row>
    <row r="89" spans="1:21" x14ac:dyDescent="0.3">
      <c r="A89" s="2"/>
      <c r="B89" s="2"/>
      <c r="C89" s="6"/>
      <c r="D89" s="3"/>
      <c r="E89" s="2"/>
      <c r="F89" s="2"/>
      <c r="G89" s="6"/>
      <c r="H89" s="6"/>
      <c r="I89" s="3"/>
      <c r="J89" s="2"/>
      <c r="K89" s="6"/>
      <c r="L89" s="6"/>
      <c r="M89" s="3"/>
      <c r="N89" s="2"/>
      <c r="O89" s="6"/>
      <c r="P89" s="6"/>
      <c r="Q89" s="3"/>
      <c r="R89" s="2"/>
      <c r="S89" s="6"/>
      <c r="T89" s="6"/>
      <c r="U89" s="3"/>
    </row>
    <row r="90" spans="1:21" x14ac:dyDescent="0.3">
      <c r="A90" s="2"/>
      <c r="B90" s="2"/>
      <c r="C90" s="6"/>
      <c r="D90" s="3"/>
      <c r="E90" s="2"/>
      <c r="F90" s="2"/>
      <c r="G90" s="6"/>
      <c r="H90" s="6"/>
      <c r="I90" s="3"/>
      <c r="J90" s="2"/>
      <c r="K90" s="6"/>
      <c r="L90" s="6"/>
      <c r="M90" s="3"/>
      <c r="N90" s="2"/>
      <c r="O90" s="6"/>
      <c r="P90" s="6"/>
      <c r="Q90" s="3"/>
      <c r="R90" s="2"/>
      <c r="S90" s="6"/>
      <c r="T90" s="6"/>
      <c r="U90" s="3"/>
    </row>
    <row r="91" spans="1:21" x14ac:dyDescent="0.3">
      <c r="A91" s="2"/>
      <c r="B91" s="2"/>
      <c r="C91" s="6"/>
      <c r="D91" s="3"/>
      <c r="E91" s="2"/>
      <c r="F91" s="2"/>
      <c r="G91" s="6"/>
      <c r="H91" s="6"/>
      <c r="I91" s="3"/>
      <c r="J91" s="2"/>
      <c r="K91" s="6"/>
      <c r="L91" s="6"/>
      <c r="M91" s="3"/>
      <c r="N91" s="2"/>
      <c r="O91" s="6"/>
      <c r="P91" s="6"/>
      <c r="Q91" s="3"/>
      <c r="R91" s="2"/>
      <c r="S91" s="6"/>
      <c r="T91" s="6"/>
      <c r="U91" s="3"/>
    </row>
    <row r="92" spans="1:21" x14ac:dyDescent="0.3">
      <c r="A92" s="2"/>
      <c r="B92" s="2"/>
      <c r="C92" s="6"/>
      <c r="D92" s="3"/>
      <c r="E92" s="2"/>
      <c r="F92" s="2"/>
      <c r="G92" s="6"/>
      <c r="H92" s="6"/>
      <c r="I92" s="3"/>
      <c r="J92" s="2"/>
      <c r="K92" s="6"/>
      <c r="L92" s="6"/>
      <c r="M92" s="3"/>
      <c r="N92" s="2"/>
      <c r="O92" s="6"/>
      <c r="P92" s="6"/>
      <c r="Q92" s="3"/>
      <c r="R92" s="2"/>
      <c r="S92" s="6"/>
      <c r="T92" s="6"/>
      <c r="U92" s="3"/>
    </row>
    <row r="93" spans="1:21" x14ac:dyDescent="0.3">
      <c r="A93" s="2"/>
      <c r="B93" s="2"/>
      <c r="C93" s="6"/>
      <c r="D93" s="3"/>
      <c r="E93" s="2"/>
      <c r="F93" s="2"/>
      <c r="G93" s="6"/>
      <c r="H93" s="6"/>
      <c r="I93" s="3"/>
      <c r="J93" s="2"/>
      <c r="K93" s="6"/>
      <c r="L93" s="6"/>
      <c r="M93" s="3"/>
      <c r="N93" s="2"/>
      <c r="O93" s="6"/>
      <c r="P93" s="6"/>
      <c r="Q93" s="3"/>
      <c r="R93" s="2"/>
      <c r="S93" s="6"/>
      <c r="T93" s="6"/>
      <c r="U93" s="3"/>
    </row>
    <row r="94" spans="1:21" x14ac:dyDescent="0.3">
      <c r="A94" s="2"/>
      <c r="B94" s="2"/>
      <c r="C94" s="6"/>
      <c r="D94" s="3"/>
      <c r="E94" s="2"/>
      <c r="F94" s="2"/>
      <c r="G94" s="6"/>
      <c r="H94" s="6"/>
      <c r="I94" s="3"/>
      <c r="J94" s="2"/>
      <c r="K94" s="6"/>
      <c r="L94" s="6"/>
      <c r="M94" s="3"/>
      <c r="N94" s="2"/>
      <c r="O94" s="6"/>
      <c r="P94" s="6"/>
      <c r="Q94" s="3"/>
      <c r="R94" s="2"/>
      <c r="S94" s="6"/>
      <c r="T94" s="6"/>
      <c r="U94" s="3"/>
    </row>
    <row r="95" spans="1:21" x14ac:dyDescent="0.3">
      <c r="A95" s="2"/>
      <c r="B95" s="2"/>
      <c r="C95" s="6"/>
      <c r="D95" s="3"/>
      <c r="E95" s="2"/>
      <c r="F95" s="2"/>
      <c r="G95" s="6"/>
      <c r="H95" s="6"/>
      <c r="I95" s="3"/>
      <c r="J95" s="2"/>
      <c r="K95" s="6"/>
      <c r="L95" s="6"/>
      <c r="M95" s="3"/>
      <c r="N95" s="2"/>
      <c r="O95" s="6"/>
      <c r="P95" s="6"/>
      <c r="Q95" s="3"/>
      <c r="R95" s="2"/>
      <c r="S95" s="6"/>
      <c r="T95" s="6"/>
      <c r="U95" s="3"/>
    </row>
    <row r="96" spans="1:21" x14ac:dyDescent="0.3">
      <c r="A96" s="2"/>
      <c r="B96" s="2"/>
      <c r="C96" s="6"/>
      <c r="D96" s="3"/>
      <c r="E96" s="2"/>
      <c r="F96" s="2"/>
      <c r="G96" s="6"/>
      <c r="H96" s="6"/>
      <c r="I96" s="3"/>
      <c r="J96" s="2"/>
      <c r="K96" s="6"/>
      <c r="L96" s="6"/>
      <c r="M96" s="3"/>
      <c r="N96" s="2"/>
      <c r="O96" s="6"/>
      <c r="P96" s="6"/>
      <c r="Q96" s="3"/>
      <c r="R96" s="2"/>
      <c r="S96" s="6"/>
      <c r="T96" s="6"/>
      <c r="U96" s="3"/>
    </row>
    <row r="97" spans="1:21" x14ac:dyDescent="0.3">
      <c r="A97" s="2"/>
      <c r="B97" s="2"/>
      <c r="C97" s="6"/>
      <c r="D97" s="3"/>
      <c r="E97" s="2"/>
      <c r="F97" s="2"/>
      <c r="G97" s="6"/>
      <c r="H97" s="6"/>
      <c r="I97" s="3"/>
      <c r="J97" s="2"/>
      <c r="K97" s="6"/>
      <c r="L97" s="6"/>
      <c r="M97" s="3"/>
      <c r="N97" s="2"/>
      <c r="O97" s="6"/>
      <c r="P97" s="6"/>
      <c r="Q97" s="3"/>
      <c r="R97" s="2"/>
      <c r="S97" s="6"/>
      <c r="T97" s="6"/>
      <c r="U97" s="3"/>
    </row>
    <row r="98" spans="1:21" x14ac:dyDescent="0.3">
      <c r="A98" s="2"/>
      <c r="B98" s="2"/>
      <c r="C98" s="6"/>
      <c r="D98" s="3"/>
      <c r="E98" s="2"/>
      <c r="F98" s="2"/>
      <c r="G98" s="6"/>
      <c r="H98" s="6"/>
      <c r="I98" s="3"/>
      <c r="J98" s="2"/>
      <c r="K98" s="6"/>
      <c r="L98" s="6"/>
      <c r="M98" s="3"/>
      <c r="N98" s="2"/>
      <c r="O98" s="6"/>
      <c r="P98" s="6"/>
      <c r="Q98" s="3"/>
      <c r="R98" s="2"/>
      <c r="S98" s="6"/>
      <c r="T98" s="6"/>
      <c r="U98" s="3"/>
    </row>
    <row r="99" spans="1:21" x14ac:dyDescent="0.3">
      <c r="A99" s="2"/>
      <c r="B99" s="2"/>
      <c r="C99" s="6"/>
      <c r="D99" s="3"/>
      <c r="E99" s="2"/>
      <c r="F99" s="2"/>
      <c r="G99" s="6"/>
      <c r="H99" s="6"/>
      <c r="I99" s="3"/>
      <c r="J99" s="2"/>
      <c r="K99" s="6"/>
      <c r="L99" s="6"/>
      <c r="M99" s="3"/>
      <c r="N99" s="2"/>
      <c r="O99" s="6"/>
      <c r="P99" s="6"/>
      <c r="Q99" s="3"/>
      <c r="R99" s="2"/>
      <c r="S99" s="6"/>
      <c r="T99" s="6"/>
      <c r="U99" s="3"/>
    </row>
    <row r="100" spans="1:21" x14ac:dyDescent="0.3">
      <c r="A100" s="2"/>
      <c r="B100" s="2"/>
      <c r="C100" s="6"/>
      <c r="D100" s="3"/>
      <c r="E100" s="2"/>
      <c r="F100" s="2"/>
      <c r="G100" s="6"/>
      <c r="H100" s="6"/>
      <c r="I100" s="3"/>
      <c r="J100" s="2"/>
      <c r="K100" s="6"/>
      <c r="L100" s="6"/>
      <c r="M100" s="3"/>
      <c r="N100" s="2"/>
      <c r="O100" s="6"/>
      <c r="P100" s="6"/>
      <c r="Q100" s="3"/>
      <c r="R100" s="2"/>
      <c r="S100" s="6"/>
      <c r="T100" s="6"/>
      <c r="U100" s="3"/>
    </row>
  </sheetData>
  <mergeCells count="1">
    <mergeCell ref="A1:U1"/>
  </mergeCells>
  <pageMargins left="0.7" right="0.7" top="0.75" bottom="0.75" header="0.3" footer="0.3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_Lists!$E$2:$E$13</xm:f>
          </x14:formula1>
          <xm:sqref>D4:D100</xm:sqref>
        </x14:dataValidation>
        <x14:dataValidation type="list" allowBlank="1" showInputMessage="1" showErrorMessage="1" xr:uid="{00000000-0002-0000-0400-000001000000}">
          <x14:formula1>
            <xm:f>_Lists!$B$2:$B$10</xm:f>
          </x14:formula1>
          <xm:sqref>I4:I100 U4:U100 Q4:Q100 M4:M100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0916C"/>
  </sheetPr>
  <dimension ref="A1:N174"/>
  <sheetViews>
    <sheetView topLeftCell="C1" workbookViewId="0">
      <pane ySplit="4" topLeftCell="A5" activePane="bottomLeft" state="frozen"/>
      <selection pane="bottomLeft" activeCell="M5" sqref="M5"/>
    </sheetView>
  </sheetViews>
  <sheetFormatPr defaultColWidth="11.5546875" defaultRowHeight="13.8" x14ac:dyDescent="0.3"/>
  <cols>
    <col min="1" max="1" width="14.6640625" customWidth="1"/>
    <col min="2" max="2" width="22.6640625" customWidth="1"/>
    <col min="3" max="3" width="16.6640625" customWidth="1"/>
    <col min="4" max="4" width="7.6640625" customWidth="1"/>
    <col min="5" max="14" width="14.6640625" customWidth="1"/>
  </cols>
  <sheetData>
    <row r="1" spans="1:14" ht="52.05" customHeight="1" x14ac:dyDescent="0.3">
      <c r="A1" s="21" t="s">
        <v>291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 ht="22.05" customHeight="1" x14ac:dyDescent="0.3">
      <c r="A2" s="12" t="s">
        <v>148</v>
      </c>
      <c r="B2" s="12" t="s">
        <v>149</v>
      </c>
      <c r="C2" s="12" t="s">
        <v>150</v>
      </c>
      <c r="D2" s="12" t="s">
        <v>292</v>
      </c>
      <c r="E2" s="12" t="s">
        <v>165</v>
      </c>
      <c r="F2" s="12" t="s">
        <v>168</v>
      </c>
      <c r="G2" s="12" t="s">
        <v>172</v>
      </c>
      <c r="H2" s="12" t="s">
        <v>174</v>
      </c>
      <c r="I2" s="12" t="s">
        <v>178</v>
      </c>
      <c r="J2" s="12" t="s">
        <v>181</v>
      </c>
      <c r="K2" s="12" t="s">
        <v>184</v>
      </c>
      <c r="L2" s="12" t="s">
        <v>187</v>
      </c>
      <c r="M2" s="12" t="s">
        <v>207</v>
      </c>
      <c r="N2" s="12" t="s">
        <v>245</v>
      </c>
    </row>
    <row r="3" spans="1:14" ht="28.05" customHeight="1" x14ac:dyDescent="0.3">
      <c r="A3" s="13" t="s">
        <v>293</v>
      </c>
      <c r="B3" s="13" t="s">
        <v>294</v>
      </c>
      <c r="C3" s="13" t="s">
        <v>295</v>
      </c>
      <c r="D3" s="13" t="s">
        <v>296</v>
      </c>
      <c r="E3" s="13" t="s">
        <v>297</v>
      </c>
      <c r="F3" s="13" t="s">
        <v>298</v>
      </c>
      <c r="G3" s="13" t="s">
        <v>299</v>
      </c>
      <c r="H3" s="13" t="s">
        <v>300</v>
      </c>
      <c r="I3" s="13" t="s">
        <v>301</v>
      </c>
      <c r="J3" s="13" t="s">
        <v>302</v>
      </c>
      <c r="K3" s="13" t="s">
        <v>303</v>
      </c>
      <c r="L3" s="13" t="s">
        <v>304</v>
      </c>
      <c r="M3" s="13" t="s">
        <v>305</v>
      </c>
      <c r="N3" s="13" t="s">
        <v>306</v>
      </c>
    </row>
    <row r="4" spans="1:14" ht="18" customHeight="1" x14ac:dyDescent="0.3">
      <c r="A4" s="13" t="s">
        <v>307</v>
      </c>
      <c r="B4" s="13" t="s">
        <v>307</v>
      </c>
      <c r="C4" s="13" t="s">
        <v>307</v>
      </c>
      <c r="D4" s="13" t="s">
        <v>308</v>
      </c>
      <c r="E4" s="13" t="s">
        <v>167</v>
      </c>
      <c r="F4" s="13" t="s">
        <v>170</v>
      </c>
      <c r="G4" s="13" t="s">
        <v>170</v>
      </c>
      <c r="H4" s="13" t="s">
        <v>176</v>
      </c>
      <c r="I4" s="13" t="s">
        <v>180</v>
      </c>
      <c r="J4" s="13" t="s">
        <v>183</v>
      </c>
      <c r="K4" s="13" t="s">
        <v>186</v>
      </c>
      <c r="L4" s="13" t="s">
        <v>183</v>
      </c>
      <c r="M4" s="13" t="s">
        <v>183</v>
      </c>
      <c r="N4" s="13" t="s">
        <v>183</v>
      </c>
    </row>
    <row r="5" spans="1:14" ht="16.05" customHeight="1" x14ac:dyDescent="0.3">
      <c r="A5" s="24" t="s">
        <v>164</v>
      </c>
      <c r="B5" s="24" t="s">
        <v>407</v>
      </c>
      <c r="C5" s="24" t="s">
        <v>47</v>
      </c>
      <c r="D5" s="24">
        <v>1990</v>
      </c>
      <c r="E5" s="26">
        <v>46127.9</v>
      </c>
      <c r="F5" s="26">
        <v>539</v>
      </c>
      <c r="G5" s="26">
        <v>539</v>
      </c>
      <c r="H5" s="26">
        <v>0</v>
      </c>
      <c r="I5" s="26">
        <v>15.63</v>
      </c>
      <c r="J5" s="26">
        <v>3.8</v>
      </c>
      <c r="K5" s="26">
        <v>0.81030000000000002</v>
      </c>
      <c r="L5" s="26">
        <v>73.52</v>
      </c>
      <c r="M5" s="26">
        <v>14.8</v>
      </c>
      <c r="N5" s="26">
        <v>3.3</v>
      </c>
    </row>
    <row r="6" spans="1:14" ht="16.05" customHeight="1" x14ac:dyDescent="0.3">
      <c r="A6" s="25" t="s">
        <v>164</v>
      </c>
      <c r="B6" s="25" t="s">
        <v>407</v>
      </c>
      <c r="C6" s="25" t="s">
        <v>47</v>
      </c>
      <c r="D6" s="25">
        <v>1991</v>
      </c>
      <c r="E6" s="27">
        <v>45431.4</v>
      </c>
      <c r="F6" s="27">
        <v>539</v>
      </c>
      <c r="G6" s="27">
        <v>539</v>
      </c>
      <c r="H6" s="27">
        <v>0</v>
      </c>
      <c r="I6" s="27">
        <v>15.63</v>
      </c>
      <c r="J6" s="27">
        <v>3.8</v>
      </c>
      <c r="K6" s="27">
        <v>0.81030000000000002</v>
      </c>
      <c r="L6" s="27">
        <v>73.52</v>
      </c>
      <c r="M6" s="27">
        <v>14.8</v>
      </c>
      <c r="N6" s="27">
        <v>3.3</v>
      </c>
    </row>
    <row r="7" spans="1:14" ht="16.05" customHeight="1" x14ac:dyDescent="0.3">
      <c r="A7" s="24" t="s">
        <v>164</v>
      </c>
      <c r="B7" s="24" t="s">
        <v>407</v>
      </c>
      <c r="C7" s="24" t="s">
        <v>47</v>
      </c>
      <c r="D7" s="24">
        <v>1992</v>
      </c>
      <c r="E7" s="26">
        <v>44706.2</v>
      </c>
      <c r="F7" s="26">
        <v>539</v>
      </c>
      <c r="G7" s="26">
        <v>539</v>
      </c>
      <c r="H7" s="26">
        <v>0</v>
      </c>
      <c r="I7" s="26">
        <v>15.63</v>
      </c>
      <c r="J7" s="26">
        <v>3.8</v>
      </c>
      <c r="K7" s="26">
        <v>0.81030000000000002</v>
      </c>
      <c r="L7" s="26">
        <v>73.52</v>
      </c>
      <c r="M7" s="26">
        <v>14.8</v>
      </c>
      <c r="N7" s="26">
        <v>3.3</v>
      </c>
    </row>
    <row r="8" spans="1:14" ht="16.05" customHeight="1" x14ac:dyDescent="0.3">
      <c r="A8" s="25" t="s">
        <v>164</v>
      </c>
      <c r="B8" s="25" t="s">
        <v>407</v>
      </c>
      <c r="C8" s="25" t="s">
        <v>47</v>
      </c>
      <c r="D8" s="25">
        <v>1993</v>
      </c>
      <c r="E8" s="27">
        <v>41231.4</v>
      </c>
      <c r="F8" s="27">
        <v>539</v>
      </c>
      <c r="G8" s="27">
        <v>539</v>
      </c>
      <c r="H8" s="27">
        <v>0</v>
      </c>
      <c r="I8" s="27">
        <v>15.63</v>
      </c>
      <c r="J8" s="27">
        <v>3.8</v>
      </c>
      <c r="K8" s="27">
        <v>0.81030000000000002</v>
      </c>
      <c r="L8" s="27">
        <v>73.52</v>
      </c>
      <c r="M8" s="27">
        <v>14.8</v>
      </c>
      <c r="N8" s="27">
        <v>3.3</v>
      </c>
    </row>
    <row r="9" spans="1:14" ht="16.05" customHeight="1" x14ac:dyDescent="0.3">
      <c r="A9" s="24" t="s">
        <v>164</v>
      </c>
      <c r="B9" s="24" t="s">
        <v>407</v>
      </c>
      <c r="C9" s="24" t="s">
        <v>47</v>
      </c>
      <c r="D9" s="24">
        <v>1994</v>
      </c>
      <c r="E9" s="26">
        <v>37151.1</v>
      </c>
      <c r="F9" s="26">
        <v>539</v>
      </c>
      <c r="G9" s="26">
        <v>539</v>
      </c>
      <c r="H9" s="26">
        <v>0</v>
      </c>
      <c r="I9" s="26">
        <v>15.63</v>
      </c>
      <c r="J9" s="26">
        <v>3.8</v>
      </c>
      <c r="K9" s="26">
        <v>0.81030000000000002</v>
      </c>
      <c r="L9" s="26">
        <v>73.52</v>
      </c>
      <c r="M9" s="26">
        <v>14.8</v>
      </c>
      <c r="N9" s="26">
        <v>3.3</v>
      </c>
    </row>
    <row r="10" spans="1:14" ht="16.05" customHeight="1" x14ac:dyDescent="0.3">
      <c r="A10" s="25" t="s">
        <v>164</v>
      </c>
      <c r="B10" s="25" t="s">
        <v>407</v>
      </c>
      <c r="C10" s="25" t="s">
        <v>47</v>
      </c>
      <c r="D10" s="25">
        <v>1995</v>
      </c>
      <c r="E10" s="27">
        <v>37715.300000000003</v>
      </c>
      <c r="F10" s="27">
        <v>539</v>
      </c>
      <c r="G10" s="27">
        <v>539</v>
      </c>
      <c r="H10" s="27">
        <v>0</v>
      </c>
      <c r="I10" s="27">
        <v>15.63</v>
      </c>
      <c r="J10" s="27">
        <v>3.8</v>
      </c>
      <c r="K10" s="27">
        <v>0.81030000000000002</v>
      </c>
      <c r="L10" s="27">
        <v>73.52</v>
      </c>
      <c r="M10" s="27">
        <v>14.8</v>
      </c>
      <c r="N10" s="27">
        <v>3.3</v>
      </c>
    </row>
    <row r="11" spans="1:14" ht="16.05" customHeight="1" x14ac:dyDescent="0.3">
      <c r="A11" s="24" t="s">
        <v>164</v>
      </c>
      <c r="B11" s="24" t="s">
        <v>407</v>
      </c>
      <c r="C11" s="24" t="s">
        <v>47</v>
      </c>
      <c r="D11" s="24">
        <v>1996</v>
      </c>
      <c r="E11" s="26">
        <v>35425.599999999999</v>
      </c>
      <c r="F11" s="26">
        <v>539</v>
      </c>
      <c r="G11" s="26">
        <v>539</v>
      </c>
      <c r="H11" s="26">
        <v>0</v>
      </c>
      <c r="I11" s="26">
        <v>15.63</v>
      </c>
      <c r="J11" s="26">
        <v>3.8</v>
      </c>
      <c r="K11" s="26">
        <v>0.81030000000000002</v>
      </c>
      <c r="L11" s="26">
        <v>73.52</v>
      </c>
      <c r="M11" s="26">
        <v>14.8</v>
      </c>
      <c r="N11" s="26">
        <v>3.3</v>
      </c>
    </row>
    <row r="12" spans="1:14" ht="16.05" customHeight="1" x14ac:dyDescent="0.3">
      <c r="A12" s="25" t="s">
        <v>164</v>
      </c>
      <c r="B12" s="25" t="s">
        <v>407</v>
      </c>
      <c r="C12" s="25" t="s">
        <v>47</v>
      </c>
      <c r="D12" s="25">
        <v>1997</v>
      </c>
      <c r="E12" s="27">
        <v>37359</v>
      </c>
      <c r="F12" s="27">
        <v>539</v>
      </c>
      <c r="G12" s="27">
        <v>539</v>
      </c>
      <c r="H12" s="27">
        <v>0</v>
      </c>
      <c r="I12" s="27">
        <v>15.63</v>
      </c>
      <c r="J12" s="27">
        <v>3.8</v>
      </c>
      <c r="K12" s="27">
        <v>0.81030000000000002</v>
      </c>
      <c r="L12" s="27">
        <v>73.52</v>
      </c>
      <c r="M12" s="27">
        <v>14.8</v>
      </c>
      <c r="N12" s="27">
        <v>3.3</v>
      </c>
    </row>
    <row r="13" spans="1:14" ht="16.05" customHeight="1" x14ac:dyDescent="0.3">
      <c r="A13" s="24" t="s">
        <v>164</v>
      </c>
      <c r="B13" s="24" t="s">
        <v>407</v>
      </c>
      <c r="C13" s="24" t="s">
        <v>47</v>
      </c>
      <c r="D13" s="24">
        <v>1998</v>
      </c>
      <c r="E13" s="26">
        <v>38390.1</v>
      </c>
      <c r="F13" s="26">
        <v>539</v>
      </c>
      <c r="G13" s="26">
        <v>539</v>
      </c>
      <c r="H13" s="26">
        <v>0</v>
      </c>
      <c r="I13" s="26">
        <v>15.63</v>
      </c>
      <c r="J13" s="26">
        <v>3.8</v>
      </c>
      <c r="K13" s="26">
        <v>0.81030000000000002</v>
      </c>
      <c r="L13" s="26">
        <v>73.52</v>
      </c>
      <c r="M13" s="26">
        <v>14.8</v>
      </c>
      <c r="N13" s="26">
        <v>3.3</v>
      </c>
    </row>
    <row r="14" spans="1:14" ht="16.05" customHeight="1" x14ac:dyDescent="0.3">
      <c r="A14" s="25" t="s">
        <v>164</v>
      </c>
      <c r="B14" s="25" t="s">
        <v>407</v>
      </c>
      <c r="C14" s="25" t="s">
        <v>47</v>
      </c>
      <c r="D14" s="25">
        <v>1999</v>
      </c>
      <c r="E14" s="27">
        <v>34466.6</v>
      </c>
      <c r="F14" s="27">
        <v>539</v>
      </c>
      <c r="G14" s="27">
        <v>539</v>
      </c>
      <c r="H14" s="27">
        <v>0</v>
      </c>
      <c r="I14" s="27">
        <v>15.63</v>
      </c>
      <c r="J14" s="27">
        <v>3.8</v>
      </c>
      <c r="K14" s="27">
        <v>0.81030000000000002</v>
      </c>
      <c r="L14" s="27">
        <v>73.52</v>
      </c>
      <c r="M14" s="27">
        <v>14.8</v>
      </c>
      <c r="N14" s="27">
        <v>3.3</v>
      </c>
    </row>
    <row r="15" spans="1:14" ht="16.05" customHeight="1" x14ac:dyDescent="0.3">
      <c r="A15" s="24" t="s">
        <v>164</v>
      </c>
      <c r="B15" s="24" t="s">
        <v>407</v>
      </c>
      <c r="C15" s="24" t="s">
        <v>47</v>
      </c>
      <c r="D15" s="24">
        <v>2000</v>
      </c>
      <c r="E15" s="26">
        <v>27556.9</v>
      </c>
      <c r="F15" s="26">
        <v>539</v>
      </c>
      <c r="G15" s="26">
        <v>539</v>
      </c>
      <c r="H15" s="26">
        <v>0</v>
      </c>
      <c r="I15" s="26">
        <v>15.63</v>
      </c>
      <c r="J15" s="26">
        <v>3.8</v>
      </c>
      <c r="K15" s="26">
        <v>0.81030000000000002</v>
      </c>
      <c r="L15" s="26">
        <v>73.52</v>
      </c>
      <c r="M15" s="26">
        <v>14.8</v>
      </c>
      <c r="N15" s="26">
        <v>3.3</v>
      </c>
    </row>
    <row r="16" spans="1:14" ht="16.05" customHeight="1" x14ac:dyDescent="0.3">
      <c r="A16" s="25" t="s">
        <v>164</v>
      </c>
      <c r="B16" s="25" t="s">
        <v>407</v>
      </c>
      <c r="C16" s="25" t="s">
        <v>47</v>
      </c>
      <c r="D16" s="25">
        <v>2001</v>
      </c>
      <c r="E16" s="27">
        <v>40241.599999999999</v>
      </c>
      <c r="F16" s="27">
        <v>539</v>
      </c>
      <c r="G16" s="27">
        <v>539</v>
      </c>
      <c r="H16" s="27">
        <v>0</v>
      </c>
      <c r="I16" s="27">
        <v>15.63</v>
      </c>
      <c r="J16" s="27">
        <v>3.8</v>
      </c>
      <c r="K16" s="27">
        <v>0.81030000000000002</v>
      </c>
      <c r="L16" s="27">
        <v>73.52</v>
      </c>
      <c r="M16" s="27">
        <v>14.8</v>
      </c>
      <c r="N16" s="27">
        <v>3.3</v>
      </c>
    </row>
    <row r="17" spans="1:14" ht="16.05" customHeight="1" x14ac:dyDescent="0.3">
      <c r="A17" s="24" t="s">
        <v>164</v>
      </c>
      <c r="B17" s="24" t="s">
        <v>407</v>
      </c>
      <c r="C17" s="24" t="s">
        <v>47</v>
      </c>
      <c r="D17" s="24">
        <v>2002</v>
      </c>
      <c r="E17" s="26">
        <v>35317.800000000003</v>
      </c>
      <c r="F17" s="26">
        <v>539</v>
      </c>
      <c r="G17" s="26">
        <v>539</v>
      </c>
      <c r="H17" s="26">
        <v>0</v>
      </c>
      <c r="I17" s="26">
        <v>15.63</v>
      </c>
      <c r="J17" s="26">
        <v>3.8</v>
      </c>
      <c r="K17" s="26">
        <v>0.81030000000000002</v>
      </c>
      <c r="L17" s="26">
        <v>73.52</v>
      </c>
      <c r="M17" s="26">
        <v>14.8</v>
      </c>
      <c r="N17" s="26">
        <v>3.3</v>
      </c>
    </row>
    <row r="18" spans="1:14" ht="16.05" customHeight="1" x14ac:dyDescent="0.3">
      <c r="A18" s="25" t="s">
        <v>164</v>
      </c>
      <c r="B18" s="25" t="s">
        <v>407</v>
      </c>
      <c r="C18" s="25" t="s">
        <v>47</v>
      </c>
      <c r="D18" s="25">
        <v>2003</v>
      </c>
      <c r="E18" s="27">
        <v>29826.3</v>
      </c>
      <c r="F18" s="27">
        <v>539</v>
      </c>
      <c r="G18" s="27">
        <v>539</v>
      </c>
      <c r="H18" s="27">
        <v>0</v>
      </c>
      <c r="I18" s="27">
        <v>15.63</v>
      </c>
      <c r="J18" s="27">
        <v>3.8</v>
      </c>
      <c r="K18" s="27">
        <v>0.81030000000000002</v>
      </c>
      <c r="L18" s="27">
        <v>73.52</v>
      </c>
      <c r="M18" s="27">
        <v>14.8</v>
      </c>
      <c r="N18" s="27">
        <v>3.3</v>
      </c>
    </row>
    <row r="19" spans="1:14" ht="16.05" customHeight="1" x14ac:dyDescent="0.3">
      <c r="A19" s="24" t="s">
        <v>164</v>
      </c>
      <c r="B19" s="24" t="s">
        <v>407</v>
      </c>
      <c r="C19" s="24" t="s">
        <v>47</v>
      </c>
      <c r="D19" s="24">
        <v>2004</v>
      </c>
      <c r="E19" s="26">
        <v>21392</v>
      </c>
      <c r="F19" s="26">
        <v>539</v>
      </c>
      <c r="G19" s="26">
        <v>539</v>
      </c>
      <c r="H19" s="26">
        <v>0</v>
      </c>
      <c r="I19" s="26">
        <v>15.63</v>
      </c>
      <c r="J19" s="26">
        <v>3.8</v>
      </c>
      <c r="K19" s="26">
        <v>0.81030000000000002</v>
      </c>
      <c r="L19" s="26">
        <v>73.52</v>
      </c>
      <c r="M19" s="26">
        <v>14.8</v>
      </c>
      <c r="N19" s="26">
        <v>3.3</v>
      </c>
    </row>
    <row r="20" spans="1:14" ht="16.05" customHeight="1" x14ac:dyDescent="0.3">
      <c r="A20" s="25" t="s">
        <v>164</v>
      </c>
      <c r="B20" s="25" t="s">
        <v>407</v>
      </c>
      <c r="C20" s="25" t="s">
        <v>47</v>
      </c>
      <c r="D20" s="25">
        <v>2005</v>
      </c>
      <c r="E20" s="27">
        <v>21392</v>
      </c>
      <c r="F20" s="27">
        <v>539</v>
      </c>
      <c r="G20" s="27">
        <v>539</v>
      </c>
      <c r="H20" s="27">
        <v>0</v>
      </c>
      <c r="I20" s="27">
        <v>15.63</v>
      </c>
      <c r="J20" s="27">
        <v>3.8</v>
      </c>
      <c r="K20" s="27">
        <v>0.81030000000000002</v>
      </c>
      <c r="L20" s="27">
        <v>73.52</v>
      </c>
      <c r="M20" s="27">
        <v>14.8</v>
      </c>
      <c r="N20" s="27">
        <v>3.3</v>
      </c>
    </row>
    <row r="21" spans="1:14" ht="16.05" customHeight="1" x14ac:dyDescent="0.3">
      <c r="A21" s="24" t="s">
        <v>164</v>
      </c>
      <c r="B21" s="24" t="s">
        <v>407</v>
      </c>
      <c r="C21" s="24" t="s">
        <v>47</v>
      </c>
      <c r="D21" s="24">
        <v>2006</v>
      </c>
      <c r="E21" s="26">
        <v>21392</v>
      </c>
      <c r="F21" s="26">
        <v>539</v>
      </c>
      <c r="G21" s="26">
        <v>539</v>
      </c>
      <c r="H21" s="26">
        <v>0</v>
      </c>
      <c r="I21" s="26">
        <v>15.63</v>
      </c>
      <c r="J21" s="26">
        <v>3.8</v>
      </c>
      <c r="K21" s="26">
        <v>0.81030000000000002</v>
      </c>
      <c r="L21" s="26">
        <v>73.52</v>
      </c>
      <c r="M21" s="26">
        <v>14.8</v>
      </c>
      <c r="N21" s="26">
        <v>3.3</v>
      </c>
    </row>
    <row r="22" spans="1:14" ht="16.05" customHeight="1" x14ac:dyDescent="0.3">
      <c r="A22" s="25" t="s">
        <v>164</v>
      </c>
      <c r="B22" s="25" t="s">
        <v>407</v>
      </c>
      <c r="C22" s="25" t="s">
        <v>47</v>
      </c>
      <c r="D22" s="25">
        <v>2007</v>
      </c>
      <c r="E22" s="27">
        <v>21392</v>
      </c>
      <c r="F22" s="27">
        <v>539</v>
      </c>
      <c r="G22" s="27">
        <v>539</v>
      </c>
      <c r="H22" s="27">
        <v>0</v>
      </c>
      <c r="I22" s="27">
        <v>15.63</v>
      </c>
      <c r="J22" s="27">
        <v>3.8</v>
      </c>
      <c r="K22" s="27">
        <v>0.81030000000000002</v>
      </c>
      <c r="L22" s="27">
        <v>73.52</v>
      </c>
      <c r="M22" s="27">
        <v>14.8</v>
      </c>
      <c r="N22" s="27">
        <v>3.3</v>
      </c>
    </row>
    <row r="23" spans="1:14" ht="16.05" customHeight="1" x14ac:dyDescent="0.3">
      <c r="A23" s="24" t="s">
        <v>164</v>
      </c>
      <c r="B23" s="24" t="s">
        <v>407</v>
      </c>
      <c r="C23" s="24" t="s">
        <v>47</v>
      </c>
      <c r="D23" s="24">
        <v>2008</v>
      </c>
      <c r="E23" s="26">
        <v>16100</v>
      </c>
      <c r="F23" s="26">
        <v>539</v>
      </c>
      <c r="G23" s="26">
        <v>539</v>
      </c>
      <c r="H23" s="26">
        <v>0</v>
      </c>
      <c r="I23" s="26">
        <v>15.63</v>
      </c>
      <c r="J23" s="26">
        <v>3.8</v>
      </c>
      <c r="K23" s="26">
        <v>0.81030000000000002</v>
      </c>
      <c r="L23" s="26">
        <v>73.52</v>
      </c>
      <c r="M23" s="26">
        <v>14.8</v>
      </c>
      <c r="N23" s="26">
        <v>3.3</v>
      </c>
    </row>
    <row r="24" spans="1:14" ht="16.05" customHeight="1" x14ac:dyDescent="0.3">
      <c r="A24" s="25" t="s">
        <v>164</v>
      </c>
      <c r="B24" s="25" t="s">
        <v>407</v>
      </c>
      <c r="C24" s="25" t="s">
        <v>47</v>
      </c>
      <c r="D24" s="25">
        <v>2009</v>
      </c>
      <c r="E24" s="27">
        <v>16100</v>
      </c>
      <c r="F24" s="27">
        <v>539</v>
      </c>
      <c r="G24" s="27">
        <v>539</v>
      </c>
      <c r="H24" s="27">
        <v>0</v>
      </c>
      <c r="I24" s="27">
        <v>15.63</v>
      </c>
      <c r="J24" s="27">
        <v>3.8</v>
      </c>
      <c r="K24" s="27">
        <v>0.81030000000000002</v>
      </c>
      <c r="L24" s="27">
        <v>73.52</v>
      </c>
      <c r="M24" s="27">
        <v>14.8</v>
      </c>
      <c r="N24" s="27">
        <v>3.3</v>
      </c>
    </row>
    <row r="25" spans="1:14" x14ac:dyDescent="0.3">
      <c r="A25" s="24" t="s">
        <v>164</v>
      </c>
      <c r="B25" s="24" t="s">
        <v>407</v>
      </c>
      <c r="C25" s="24" t="s">
        <v>47</v>
      </c>
      <c r="D25" s="24">
        <v>2010</v>
      </c>
      <c r="E25" s="26">
        <v>16100</v>
      </c>
      <c r="F25" s="26">
        <v>539</v>
      </c>
      <c r="G25" s="26">
        <v>539</v>
      </c>
      <c r="H25" s="26">
        <v>0</v>
      </c>
      <c r="I25" s="26">
        <v>15.63</v>
      </c>
      <c r="J25" s="26">
        <v>3.8</v>
      </c>
      <c r="K25" s="26">
        <v>0.81030000000000002</v>
      </c>
      <c r="L25" s="26">
        <v>73.52</v>
      </c>
      <c r="M25" s="26">
        <v>14.8</v>
      </c>
      <c r="N25" s="26">
        <v>3.3</v>
      </c>
    </row>
    <row r="26" spans="1:14" ht="13.8" customHeight="1" x14ac:dyDescent="0.3">
      <c r="A26" s="25" t="s">
        <v>164</v>
      </c>
      <c r="B26" s="25" t="s">
        <v>407</v>
      </c>
      <c r="C26" s="25" t="s">
        <v>47</v>
      </c>
      <c r="D26" s="25">
        <v>2011</v>
      </c>
      <c r="E26" s="27">
        <v>11331.6</v>
      </c>
      <c r="F26" s="27">
        <v>539</v>
      </c>
      <c r="G26" s="27">
        <v>539</v>
      </c>
      <c r="H26" s="27">
        <v>0</v>
      </c>
      <c r="I26" s="27">
        <v>15.63</v>
      </c>
      <c r="J26" s="27">
        <v>3.8</v>
      </c>
      <c r="K26" s="27">
        <v>0.81030000000000002</v>
      </c>
      <c r="L26" s="27">
        <v>73.52</v>
      </c>
      <c r="M26" s="27">
        <v>14.8</v>
      </c>
      <c r="N26" s="27">
        <v>3.3</v>
      </c>
    </row>
    <row r="27" spans="1:14" x14ac:dyDescent="0.3">
      <c r="A27" s="24" t="s">
        <v>164</v>
      </c>
      <c r="B27" s="24" t="s">
        <v>407</v>
      </c>
      <c r="C27" s="24" t="s">
        <v>47</v>
      </c>
      <c r="D27" s="24">
        <v>2012</v>
      </c>
      <c r="E27" s="26">
        <v>11331.6</v>
      </c>
      <c r="F27" s="26">
        <v>539</v>
      </c>
      <c r="G27" s="26">
        <v>539</v>
      </c>
      <c r="H27" s="26">
        <v>0</v>
      </c>
      <c r="I27" s="26">
        <v>15.63</v>
      </c>
      <c r="J27" s="26">
        <v>3.8</v>
      </c>
      <c r="K27" s="26">
        <v>0.81030000000000002</v>
      </c>
      <c r="L27" s="26">
        <v>73.52</v>
      </c>
      <c r="M27" s="26">
        <v>14.8</v>
      </c>
      <c r="N27" s="26">
        <v>3.3</v>
      </c>
    </row>
    <row r="28" spans="1:14" x14ac:dyDescent="0.3">
      <c r="A28" s="25" t="s">
        <v>164</v>
      </c>
      <c r="B28" s="25" t="s">
        <v>407</v>
      </c>
      <c r="C28" s="25" t="s">
        <v>47</v>
      </c>
      <c r="D28" s="25">
        <v>2013</v>
      </c>
      <c r="E28" s="27">
        <v>10999.8</v>
      </c>
      <c r="F28" s="27">
        <v>539</v>
      </c>
      <c r="G28" s="27">
        <v>539</v>
      </c>
      <c r="H28" s="27">
        <v>0</v>
      </c>
      <c r="I28" s="27">
        <v>15.63</v>
      </c>
      <c r="J28" s="27">
        <v>3.8</v>
      </c>
      <c r="K28" s="27">
        <v>0.81030000000000002</v>
      </c>
      <c r="L28" s="27">
        <v>73.52</v>
      </c>
      <c r="M28" s="27">
        <v>14.8</v>
      </c>
      <c r="N28" s="27">
        <v>3.3</v>
      </c>
    </row>
    <row r="29" spans="1:14" x14ac:dyDescent="0.3">
      <c r="A29" s="24" t="s">
        <v>164</v>
      </c>
      <c r="B29" s="24" t="s">
        <v>407</v>
      </c>
      <c r="C29" s="24" t="s">
        <v>47</v>
      </c>
      <c r="D29" s="24">
        <v>2014</v>
      </c>
      <c r="E29" s="26">
        <v>9480.8539409999994</v>
      </c>
      <c r="F29" s="26">
        <v>539</v>
      </c>
      <c r="G29" s="26">
        <v>539</v>
      </c>
      <c r="H29" s="26">
        <v>0</v>
      </c>
      <c r="I29" s="26">
        <v>15.63</v>
      </c>
      <c r="J29" s="26">
        <v>3.8</v>
      </c>
      <c r="K29" s="26">
        <v>0.81030000000000002</v>
      </c>
      <c r="L29" s="26">
        <v>73.52</v>
      </c>
      <c r="M29" s="26">
        <v>14.8</v>
      </c>
      <c r="N29" s="26">
        <v>3.3</v>
      </c>
    </row>
    <row r="30" spans="1:14" x14ac:dyDescent="0.3">
      <c r="A30" s="25" t="s">
        <v>164</v>
      </c>
      <c r="B30" s="25" t="s">
        <v>407</v>
      </c>
      <c r="C30" s="25" t="s">
        <v>47</v>
      </c>
      <c r="D30" s="25">
        <v>2015</v>
      </c>
      <c r="E30" s="27">
        <v>13566.83</v>
      </c>
      <c r="F30" s="27">
        <v>539</v>
      </c>
      <c r="G30" s="27">
        <v>539</v>
      </c>
      <c r="H30" s="27">
        <v>0</v>
      </c>
      <c r="I30" s="27">
        <v>15.63</v>
      </c>
      <c r="J30" s="27">
        <v>3.8</v>
      </c>
      <c r="K30" s="27">
        <v>0.81030000000000002</v>
      </c>
      <c r="L30" s="27">
        <v>73.52</v>
      </c>
      <c r="M30" s="27">
        <v>14.8</v>
      </c>
      <c r="N30" s="27">
        <v>3.3</v>
      </c>
    </row>
    <row r="31" spans="1:14" x14ac:dyDescent="0.3">
      <c r="A31" s="24" t="s">
        <v>164</v>
      </c>
      <c r="B31" s="24" t="s">
        <v>407</v>
      </c>
      <c r="C31" s="24" t="s">
        <v>47</v>
      </c>
      <c r="D31" s="24">
        <v>2016</v>
      </c>
      <c r="E31" s="26">
        <v>14604.66</v>
      </c>
      <c r="F31" s="26">
        <v>539</v>
      </c>
      <c r="G31" s="26">
        <v>539</v>
      </c>
      <c r="H31" s="26">
        <v>0</v>
      </c>
      <c r="I31" s="26">
        <v>15.63</v>
      </c>
      <c r="J31" s="26">
        <v>3.8</v>
      </c>
      <c r="K31" s="26">
        <v>0.81030000000000002</v>
      </c>
      <c r="L31" s="26">
        <v>73.52</v>
      </c>
      <c r="M31" s="26">
        <v>14.8</v>
      </c>
      <c r="N31" s="26">
        <v>3.3</v>
      </c>
    </row>
    <row r="32" spans="1:14" x14ac:dyDescent="0.3">
      <c r="A32" s="25" t="s">
        <v>164</v>
      </c>
      <c r="B32" s="25" t="s">
        <v>407</v>
      </c>
      <c r="C32" s="25" t="s">
        <v>47</v>
      </c>
      <c r="D32" s="25">
        <v>2017</v>
      </c>
      <c r="E32" s="27">
        <v>15605.64</v>
      </c>
      <c r="F32" s="27">
        <v>539</v>
      </c>
      <c r="G32" s="27">
        <v>539</v>
      </c>
      <c r="H32" s="27">
        <v>0</v>
      </c>
      <c r="I32" s="27">
        <v>15.63</v>
      </c>
      <c r="J32" s="27">
        <v>3.8</v>
      </c>
      <c r="K32" s="27">
        <v>0.81030000000000002</v>
      </c>
      <c r="L32" s="27">
        <v>73.52</v>
      </c>
      <c r="M32" s="27">
        <v>14.8</v>
      </c>
      <c r="N32" s="27">
        <v>3.3</v>
      </c>
    </row>
    <row r="33" spans="1:14" x14ac:dyDescent="0.3">
      <c r="A33" s="24" t="s">
        <v>164</v>
      </c>
      <c r="B33" s="24" t="s">
        <v>407</v>
      </c>
      <c r="C33" s="24" t="s">
        <v>47</v>
      </c>
      <c r="D33" s="24">
        <v>2018</v>
      </c>
      <c r="E33" s="26">
        <v>11166.955961</v>
      </c>
      <c r="F33" s="26">
        <v>539</v>
      </c>
      <c r="G33" s="26">
        <v>539</v>
      </c>
      <c r="H33" s="26">
        <v>0</v>
      </c>
      <c r="I33" s="26">
        <v>15.63</v>
      </c>
      <c r="J33" s="26">
        <v>3.8</v>
      </c>
      <c r="K33" s="26">
        <v>0.81030000000000002</v>
      </c>
      <c r="L33" s="26">
        <v>73.52</v>
      </c>
      <c r="M33" s="26">
        <v>14.8</v>
      </c>
      <c r="N33" s="26">
        <v>3.3</v>
      </c>
    </row>
    <row r="34" spans="1:14" x14ac:dyDescent="0.3">
      <c r="A34" s="25" t="s">
        <v>164</v>
      </c>
      <c r="B34" s="25" t="s">
        <v>407</v>
      </c>
      <c r="C34" s="25" t="s">
        <v>47</v>
      </c>
      <c r="D34" s="25">
        <v>2019</v>
      </c>
      <c r="E34" s="27">
        <v>12293.026325999999</v>
      </c>
      <c r="F34" s="27">
        <v>539</v>
      </c>
      <c r="G34" s="27">
        <v>539</v>
      </c>
      <c r="H34" s="27">
        <v>0</v>
      </c>
      <c r="I34" s="27">
        <v>15.63</v>
      </c>
      <c r="J34" s="27">
        <v>3.8</v>
      </c>
      <c r="K34" s="27">
        <v>0.81030000000000002</v>
      </c>
      <c r="L34" s="27">
        <v>73.52</v>
      </c>
      <c r="M34" s="27">
        <v>14.8</v>
      </c>
      <c r="N34" s="27">
        <v>3.3</v>
      </c>
    </row>
    <row r="35" spans="1:14" x14ac:dyDescent="0.3">
      <c r="A35" s="24" t="s">
        <v>164</v>
      </c>
      <c r="B35" s="24" t="s">
        <v>407</v>
      </c>
      <c r="C35" s="24" t="s">
        <v>47</v>
      </c>
      <c r="D35" s="24">
        <v>2020</v>
      </c>
      <c r="E35" s="26">
        <v>15214.18</v>
      </c>
      <c r="F35" s="26">
        <v>539</v>
      </c>
      <c r="G35" s="26">
        <v>539</v>
      </c>
      <c r="H35" s="26">
        <v>0</v>
      </c>
      <c r="I35" s="26">
        <v>15.63</v>
      </c>
      <c r="J35" s="26">
        <v>3.8</v>
      </c>
      <c r="K35" s="26">
        <v>0.81030000000000002</v>
      </c>
      <c r="L35" s="26">
        <v>73.52</v>
      </c>
      <c r="M35" s="26">
        <v>14.8</v>
      </c>
      <c r="N35" s="26">
        <v>3.3</v>
      </c>
    </row>
    <row r="36" spans="1:14" x14ac:dyDescent="0.3">
      <c r="A36" s="25" t="s">
        <v>164</v>
      </c>
      <c r="B36" s="25" t="s">
        <v>407</v>
      </c>
      <c r="C36" s="25" t="s">
        <v>47</v>
      </c>
      <c r="D36" s="25">
        <v>2021</v>
      </c>
      <c r="E36" s="27">
        <v>19544.88</v>
      </c>
      <c r="F36" s="27">
        <v>539</v>
      </c>
      <c r="G36" s="27">
        <v>539</v>
      </c>
      <c r="H36" s="27">
        <v>0</v>
      </c>
      <c r="I36" s="27">
        <v>15.63</v>
      </c>
      <c r="J36" s="27">
        <v>3.8</v>
      </c>
      <c r="K36" s="27">
        <v>0.81030000000000002</v>
      </c>
      <c r="L36" s="27">
        <v>73.52</v>
      </c>
      <c r="M36" s="27">
        <v>14.8</v>
      </c>
      <c r="N36" s="27">
        <v>3.3</v>
      </c>
    </row>
    <row r="37" spans="1:14" x14ac:dyDescent="0.3">
      <c r="A37" s="24" t="s">
        <v>164</v>
      </c>
      <c r="B37" s="24" t="s">
        <v>407</v>
      </c>
      <c r="C37" s="24" t="s">
        <v>47</v>
      </c>
      <c r="D37" s="24">
        <v>2022</v>
      </c>
      <c r="E37" s="26">
        <v>21762</v>
      </c>
      <c r="F37" s="26">
        <v>539</v>
      </c>
      <c r="G37" s="26">
        <v>539</v>
      </c>
      <c r="H37" s="26">
        <v>0</v>
      </c>
      <c r="I37" s="26">
        <v>15.63</v>
      </c>
      <c r="J37" s="26">
        <v>3.8</v>
      </c>
      <c r="K37" s="26">
        <v>0.81030000000000002</v>
      </c>
      <c r="L37" s="26">
        <v>73.52</v>
      </c>
      <c r="M37" s="26">
        <v>14.8</v>
      </c>
      <c r="N37" s="26">
        <v>3.3</v>
      </c>
    </row>
    <row r="38" spans="1:14" x14ac:dyDescent="0.3">
      <c r="A38" s="25" t="s">
        <v>164</v>
      </c>
      <c r="B38" s="25" t="s">
        <v>407</v>
      </c>
      <c r="C38" s="25" t="s">
        <v>47</v>
      </c>
      <c r="D38" s="25">
        <v>2023</v>
      </c>
      <c r="E38" s="27">
        <v>24682.82</v>
      </c>
      <c r="F38" s="27">
        <v>539</v>
      </c>
      <c r="G38" s="27">
        <v>539</v>
      </c>
      <c r="H38" s="27">
        <v>0</v>
      </c>
      <c r="I38" s="27">
        <v>15.63</v>
      </c>
      <c r="J38" s="27">
        <v>3.8</v>
      </c>
      <c r="K38" s="27">
        <v>0.81030000000000002</v>
      </c>
      <c r="L38" s="27">
        <v>73.52</v>
      </c>
      <c r="M38" s="27">
        <v>14.8</v>
      </c>
      <c r="N38" s="27">
        <v>3.3</v>
      </c>
    </row>
    <row r="39" spans="1:14" x14ac:dyDescent="0.3">
      <c r="A39" s="24" t="s">
        <v>164</v>
      </c>
      <c r="B39" s="24" t="s">
        <v>407</v>
      </c>
      <c r="C39" s="24" t="s">
        <v>51</v>
      </c>
      <c r="D39" s="24">
        <v>1990</v>
      </c>
      <c r="E39" s="26">
        <v>1044.4000000000001</v>
      </c>
      <c r="F39" s="26">
        <v>650</v>
      </c>
      <c r="G39" s="26">
        <v>650</v>
      </c>
      <c r="H39" s="26">
        <v>0</v>
      </c>
      <c r="I39" s="24"/>
      <c r="J39" s="24"/>
      <c r="K39" s="26">
        <v>0</v>
      </c>
      <c r="L39" s="26">
        <v>66.260000000000005</v>
      </c>
      <c r="M39" s="26">
        <v>10.78</v>
      </c>
      <c r="N39" s="24"/>
    </row>
    <row r="40" spans="1:14" x14ac:dyDescent="0.3">
      <c r="A40" s="25" t="s">
        <v>164</v>
      </c>
      <c r="B40" s="25" t="s">
        <v>407</v>
      </c>
      <c r="C40" s="25" t="s">
        <v>51</v>
      </c>
      <c r="D40" s="25">
        <v>1991</v>
      </c>
      <c r="E40" s="27">
        <v>931</v>
      </c>
      <c r="F40" s="27">
        <v>650</v>
      </c>
      <c r="G40" s="27">
        <v>650</v>
      </c>
      <c r="H40" s="27">
        <v>0</v>
      </c>
      <c r="I40" s="25"/>
      <c r="J40" s="25"/>
      <c r="K40" s="27">
        <v>0</v>
      </c>
      <c r="L40" s="27">
        <v>66.260000000000005</v>
      </c>
      <c r="M40" s="27">
        <v>10.78</v>
      </c>
      <c r="N40" s="25"/>
    </row>
    <row r="41" spans="1:14" x14ac:dyDescent="0.3">
      <c r="A41" s="24" t="s">
        <v>164</v>
      </c>
      <c r="B41" s="24" t="s">
        <v>407</v>
      </c>
      <c r="C41" s="24" t="s">
        <v>51</v>
      </c>
      <c r="D41" s="24">
        <v>1992</v>
      </c>
      <c r="E41" s="26">
        <v>941.5</v>
      </c>
      <c r="F41" s="26">
        <v>650</v>
      </c>
      <c r="G41" s="26">
        <v>650</v>
      </c>
      <c r="H41" s="26">
        <v>0</v>
      </c>
      <c r="I41" s="24"/>
      <c r="J41" s="24"/>
      <c r="K41" s="26">
        <v>0</v>
      </c>
      <c r="L41" s="26">
        <v>66.260000000000005</v>
      </c>
      <c r="M41" s="26">
        <v>10.78</v>
      </c>
      <c r="N41" s="24"/>
    </row>
    <row r="42" spans="1:14" x14ac:dyDescent="0.3">
      <c r="A42" s="25" t="s">
        <v>164</v>
      </c>
      <c r="B42" s="25" t="s">
        <v>407</v>
      </c>
      <c r="C42" s="25" t="s">
        <v>51</v>
      </c>
      <c r="D42" s="25">
        <v>1993</v>
      </c>
      <c r="E42" s="27">
        <v>914.9</v>
      </c>
      <c r="F42" s="27">
        <v>650</v>
      </c>
      <c r="G42" s="27">
        <v>650</v>
      </c>
      <c r="H42" s="27">
        <v>0</v>
      </c>
      <c r="I42" s="25"/>
      <c r="J42" s="25"/>
      <c r="K42" s="27">
        <v>0</v>
      </c>
      <c r="L42" s="27">
        <v>66.260000000000005</v>
      </c>
      <c r="M42" s="27">
        <v>10.78</v>
      </c>
      <c r="N42" s="25"/>
    </row>
    <row r="43" spans="1:14" x14ac:dyDescent="0.3">
      <c r="A43" s="24" t="s">
        <v>164</v>
      </c>
      <c r="B43" s="24" t="s">
        <v>407</v>
      </c>
      <c r="C43" s="24" t="s">
        <v>51</v>
      </c>
      <c r="D43" s="24">
        <v>1994</v>
      </c>
      <c r="E43" s="26">
        <v>821.1</v>
      </c>
      <c r="F43" s="26">
        <v>650</v>
      </c>
      <c r="G43" s="26">
        <v>650</v>
      </c>
      <c r="H43" s="26">
        <v>0</v>
      </c>
      <c r="I43" s="24"/>
      <c r="J43" s="24"/>
      <c r="K43" s="26">
        <v>0</v>
      </c>
      <c r="L43" s="26">
        <v>66.260000000000005</v>
      </c>
      <c r="M43" s="26">
        <v>10.78</v>
      </c>
      <c r="N43" s="24"/>
    </row>
    <row r="44" spans="1:14" x14ac:dyDescent="0.3">
      <c r="A44" s="25" t="s">
        <v>164</v>
      </c>
      <c r="B44" s="25" t="s">
        <v>407</v>
      </c>
      <c r="C44" s="25" t="s">
        <v>51</v>
      </c>
      <c r="D44" s="25">
        <v>1995</v>
      </c>
      <c r="E44" s="27">
        <v>951.3</v>
      </c>
      <c r="F44" s="27">
        <v>650</v>
      </c>
      <c r="G44" s="27">
        <v>650</v>
      </c>
      <c r="H44" s="27">
        <v>0</v>
      </c>
      <c r="I44" s="25"/>
      <c r="J44" s="25"/>
      <c r="K44" s="27">
        <v>0</v>
      </c>
      <c r="L44" s="27">
        <v>66.260000000000005</v>
      </c>
      <c r="M44" s="27">
        <v>10.78</v>
      </c>
      <c r="N44" s="25"/>
    </row>
    <row r="45" spans="1:14" x14ac:dyDescent="0.3">
      <c r="A45" s="24" t="s">
        <v>164</v>
      </c>
      <c r="B45" s="24" t="s">
        <v>407</v>
      </c>
      <c r="C45" s="24" t="s">
        <v>51</v>
      </c>
      <c r="D45" s="24">
        <v>1996</v>
      </c>
      <c r="E45" s="26">
        <v>821.8</v>
      </c>
      <c r="F45" s="26">
        <v>650</v>
      </c>
      <c r="G45" s="26">
        <v>650</v>
      </c>
      <c r="H45" s="26">
        <v>0</v>
      </c>
      <c r="I45" s="24"/>
      <c r="J45" s="24"/>
      <c r="K45" s="26">
        <v>0</v>
      </c>
      <c r="L45" s="26">
        <v>66.260000000000005</v>
      </c>
      <c r="M45" s="26">
        <v>10.78</v>
      </c>
      <c r="N45" s="24"/>
    </row>
    <row r="46" spans="1:14" x14ac:dyDescent="0.3">
      <c r="A46" s="25" t="s">
        <v>164</v>
      </c>
      <c r="B46" s="25" t="s">
        <v>407</v>
      </c>
      <c r="C46" s="25" t="s">
        <v>51</v>
      </c>
      <c r="D46" s="25">
        <v>1997</v>
      </c>
      <c r="E46" s="27">
        <v>834.18413299999997</v>
      </c>
      <c r="F46" s="27">
        <v>650</v>
      </c>
      <c r="G46" s="27">
        <v>650</v>
      </c>
      <c r="H46" s="27">
        <v>0</v>
      </c>
      <c r="I46" s="25"/>
      <c r="J46" s="25"/>
      <c r="K46" s="27">
        <v>0</v>
      </c>
      <c r="L46" s="27">
        <v>66.260000000000005</v>
      </c>
      <c r="M46" s="27">
        <v>10.78</v>
      </c>
      <c r="N46" s="25"/>
    </row>
    <row r="47" spans="1:14" x14ac:dyDescent="0.3">
      <c r="A47" s="24" t="s">
        <v>164</v>
      </c>
      <c r="B47" s="24" t="s">
        <v>407</v>
      </c>
      <c r="C47" s="24" t="s">
        <v>51</v>
      </c>
      <c r="D47" s="24">
        <v>1998</v>
      </c>
      <c r="E47" s="26">
        <v>857.20742700000005</v>
      </c>
      <c r="F47" s="26">
        <v>650</v>
      </c>
      <c r="G47" s="26">
        <v>650</v>
      </c>
      <c r="H47" s="26">
        <v>0</v>
      </c>
      <c r="I47" s="24"/>
      <c r="J47" s="24"/>
      <c r="K47" s="26">
        <v>0</v>
      </c>
      <c r="L47" s="26">
        <v>66.260000000000005</v>
      </c>
      <c r="M47" s="26">
        <v>10.78</v>
      </c>
      <c r="N47" s="24"/>
    </row>
    <row r="48" spans="1:14" x14ac:dyDescent="0.3">
      <c r="A48" s="25" t="s">
        <v>164</v>
      </c>
      <c r="B48" s="25" t="s">
        <v>407</v>
      </c>
      <c r="C48" s="25" t="s">
        <v>51</v>
      </c>
      <c r="D48" s="25">
        <v>1999</v>
      </c>
      <c r="E48" s="27">
        <v>769.60011899999995</v>
      </c>
      <c r="F48" s="27">
        <v>650</v>
      </c>
      <c r="G48" s="27">
        <v>650</v>
      </c>
      <c r="H48" s="27">
        <v>0</v>
      </c>
      <c r="I48" s="25"/>
      <c r="J48" s="25"/>
      <c r="K48" s="27">
        <v>0</v>
      </c>
      <c r="L48" s="27">
        <v>66.260000000000005</v>
      </c>
      <c r="M48" s="27">
        <v>10.78</v>
      </c>
      <c r="N48" s="25"/>
    </row>
    <row r="49" spans="1:14" x14ac:dyDescent="0.3">
      <c r="A49" s="24" t="s">
        <v>164</v>
      </c>
      <c r="B49" s="24" t="s">
        <v>407</v>
      </c>
      <c r="C49" s="24" t="s">
        <v>51</v>
      </c>
      <c r="D49" s="24">
        <v>2000</v>
      </c>
      <c r="E49" s="26">
        <v>615.314348</v>
      </c>
      <c r="F49" s="26">
        <v>650</v>
      </c>
      <c r="G49" s="26">
        <v>650</v>
      </c>
      <c r="H49" s="26">
        <v>0</v>
      </c>
      <c r="I49" s="24"/>
      <c r="J49" s="24"/>
      <c r="K49" s="26">
        <v>0</v>
      </c>
      <c r="L49" s="26">
        <v>66.260000000000005</v>
      </c>
      <c r="M49" s="26">
        <v>10.78</v>
      </c>
      <c r="N49" s="24"/>
    </row>
    <row r="50" spans="1:14" x14ac:dyDescent="0.3">
      <c r="A50" s="25" t="s">
        <v>164</v>
      </c>
      <c r="B50" s="25" t="s">
        <v>407</v>
      </c>
      <c r="C50" s="25" t="s">
        <v>51</v>
      </c>
      <c r="D50" s="25">
        <v>2001</v>
      </c>
      <c r="E50" s="27">
        <v>898.54932399999996</v>
      </c>
      <c r="F50" s="27">
        <v>650</v>
      </c>
      <c r="G50" s="27">
        <v>650</v>
      </c>
      <c r="H50" s="27">
        <v>0</v>
      </c>
      <c r="I50" s="25"/>
      <c r="J50" s="25"/>
      <c r="K50" s="27">
        <v>0</v>
      </c>
      <c r="L50" s="27">
        <v>66.260000000000005</v>
      </c>
      <c r="M50" s="27">
        <v>10.78</v>
      </c>
      <c r="N50" s="25"/>
    </row>
    <row r="51" spans="1:14" x14ac:dyDescent="0.3">
      <c r="A51" s="24" t="s">
        <v>164</v>
      </c>
      <c r="B51" s="24" t="s">
        <v>407</v>
      </c>
      <c r="C51" s="24" t="s">
        <v>51</v>
      </c>
      <c r="D51" s="24">
        <v>2002</v>
      </c>
      <c r="E51" s="26">
        <v>788.60645</v>
      </c>
      <c r="F51" s="26">
        <v>650</v>
      </c>
      <c r="G51" s="26">
        <v>650</v>
      </c>
      <c r="H51" s="26">
        <v>0</v>
      </c>
      <c r="I51" s="24"/>
      <c r="J51" s="24"/>
      <c r="K51" s="26">
        <v>0</v>
      </c>
      <c r="L51" s="26">
        <v>66.260000000000005</v>
      </c>
      <c r="M51" s="26">
        <v>10.78</v>
      </c>
      <c r="N51" s="24"/>
    </row>
    <row r="52" spans="1:14" x14ac:dyDescent="0.3">
      <c r="A52" s="25" t="s">
        <v>164</v>
      </c>
      <c r="B52" s="25" t="s">
        <v>407</v>
      </c>
      <c r="C52" s="25" t="s">
        <v>51</v>
      </c>
      <c r="D52" s="25">
        <v>2003</v>
      </c>
      <c r="E52" s="27">
        <v>665.98747800000001</v>
      </c>
      <c r="F52" s="27">
        <v>650</v>
      </c>
      <c r="G52" s="27">
        <v>650</v>
      </c>
      <c r="H52" s="27">
        <v>0</v>
      </c>
      <c r="I52" s="25"/>
      <c r="J52" s="25"/>
      <c r="K52" s="27">
        <v>0</v>
      </c>
      <c r="L52" s="27">
        <v>66.260000000000005</v>
      </c>
      <c r="M52" s="27">
        <v>10.78</v>
      </c>
      <c r="N52" s="25"/>
    </row>
    <row r="53" spans="1:14" x14ac:dyDescent="0.3">
      <c r="A53" s="24" t="s">
        <v>164</v>
      </c>
      <c r="B53" s="24" t="s">
        <v>407</v>
      </c>
      <c r="C53" s="24" t="s">
        <v>51</v>
      </c>
      <c r="D53" s="24">
        <v>2004</v>
      </c>
      <c r="E53" s="26">
        <v>477.65911699999998</v>
      </c>
      <c r="F53" s="26">
        <v>650</v>
      </c>
      <c r="G53" s="26">
        <v>650</v>
      </c>
      <c r="H53" s="26">
        <v>0</v>
      </c>
      <c r="I53" s="24"/>
      <c r="J53" s="24"/>
      <c r="K53" s="26">
        <v>0</v>
      </c>
      <c r="L53" s="26">
        <v>66.260000000000005</v>
      </c>
      <c r="M53" s="26">
        <v>10.78</v>
      </c>
      <c r="N53" s="24"/>
    </row>
    <row r="54" spans="1:14" x14ac:dyDescent="0.3">
      <c r="A54" s="25" t="s">
        <v>164</v>
      </c>
      <c r="B54" s="25" t="s">
        <v>407</v>
      </c>
      <c r="C54" s="25" t="s">
        <v>51</v>
      </c>
      <c r="D54" s="25">
        <v>2005</v>
      </c>
      <c r="E54" s="27">
        <v>477.65911699999998</v>
      </c>
      <c r="F54" s="27">
        <v>650</v>
      </c>
      <c r="G54" s="27">
        <v>650</v>
      </c>
      <c r="H54" s="27">
        <v>0</v>
      </c>
      <c r="I54" s="25"/>
      <c r="J54" s="25"/>
      <c r="K54" s="27">
        <v>0</v>
      </c>
      <c r="L54" s="27">
        <v>66.260000000000005</v>
      </c>
      <c r="M54" s="27">
        <v>10.78</v>
      </c>
      <c r="N54" s="25"/>
    </row>
    <row r="55" spans="1:14" x14ac:dyDescent="0.3">
      <c r="A55" s="24" t="s">
        <v>164</v>
      </c>
      <c r="B55" s="24" t="s">
        <v>407</v>
      </c>
      <c r="C55" s="24" t="s">
        <v>51</v>
      </c>
      <c r="D55" s="24">
        <v>2006</v>
      </c>
      <c r="E55" s="26">
        <v>477.65911699999998</v>
      </c>
      <c r="F55" s="26">
        <v>650</v>
      </c>
      <c r="G55" s="26">
        <v>650</v>
      </c>
      <c r="H55" s="26">
        <v>0</v>
      </c>
      <c r="I55" s="24"/>
      <c r="J55" s="24"/>
      <c r="K55" s="26">
        <v>0</v>
      </c>
      <c r="L55" s="26">
        <v>66.260000000000005</v>
      </c>
      <c r="M55" s="26">
        <v>10.78</v>
      </c>
      <c r="N55" s="24"/>
    </row>
    <row r="56" spans="1:14" x14ac:dyDescent="0.3">
      <c r="A56" s="25" t="s">
        <v>164</v>
      </c>
      <c r="B56" s="25" t="s">
        <v>407</v>
      </c>
      <c r="C56" s="25" t="s">
        <v>51</v>
      </c>
      <c r="D56" s="25">
        <v>2007</v>
      </c>
      <c r="E56" s="27">
        <v>477.65911699999998</v>
      </c>
      <c r="F56" s="27">
        <v>650</v>
      </c>
      <c r="G56" s="27">
        <v>650</v>
      </c>
      <c r="H56" s="27">
        <v>0</v>
      </c>
      <c r="I56" s="25"/>
      <c r="J56" s="25"/>
      <c r="K56" s="27">
        <v>0</v>
      </c>
      <c r="L56" s="27">
        <v>66.260000000000005</v>
      </c>
      <c r="M56" s="27">
        <v>10.78</v>
      </c>
      <c r="N56" s="25"/>
    </row>
    <row r="57" spans="1:14" x14ac:dyDescent="0.3">
      <c r="A57" s="24" t="s">
        <v>164</v>
      </c>
      <c r="B57" s="24" t="s">
        <v>407</v>
      </c>
      <c r="C57" s="24" t="s">
        <v>51</v>
      </c>
      <c r="D57" s="24">
        <v>2008</v>
      </c>
      <c r="E57" s="26">
        <v>359.494755</v>
      </c>
      <c r="F57" s="26">
        <v>650</v>
      </c>
      <c r="G57" s="26">
        <v>650</v>
      </c>
      <c r="H57" s="26">
        <v>0</v>
      </c>
      <c r="I57" s="24"/>
      <c r="J57" s="24"/>
      <c r="K57" s="26">
        <v>0</v>
      </c>
      <c r="L57" s="26">
        <v>66.260000000000005</v>
      </c>
      <c r="M57" s="26">
        <v>10.78</v>
      </c>
      <c r="N57" s="24"/>
    </row>
    <row r="58" spans="1:14" x14ac:dyDescent="0.3">
      <c r="A58" s="25" t="s">
        <v>164</v>
      </c>
      <c r="B58" s="25" t="s">
        <v>407</v>
      </c>
      <c r="C58" s="25" t="s">
        <v>51</v>
      </c>
      <c r="D58" s="25">
        <v>2009</v>
      </c>
      <c r="E58" s="27">
        <v>359.494755</v>
      </c>
      <c r="F58" s="27">
        <v>650</v>
      </c>
      <c r="G58" s="27">
        <v>650</v>
      </c>
      <c r="H58" s="27">
        <v>0</v>
      </c>
      <c r="I58" s="25"/>
      <c r="J58" s="25"/>
      <c r="K58" s="27">
        <v>0</v>
      </c>
      <c r="L58" s="27">
        <v>66.260000000000005</v>
      </c>
      <c r="M58" s="27">
        <v>10.78</v>
      </c>
      <c r="N58" s="25"/>
    </row>
    <row r="59" spans="1:14" x14ac:dyDescent="0.3">
      <c r="A59" s="24" t="s">
        <v>164</v>
      </c>
      <c r="B59" s="24" t="s">
        <v>407</v>
      </c>
      <c r="C59" s="24" t="s">
        <v>51</v>
      </c>
      <c r="D59" s="24">
        <v>2010</v>
      </c>
      <c r="E59" s="26">
        <v>359.494755</v>
      </c>
      <c r="F59" s="26">
        <v>650</v>
      </c>
      <c r="G59" s="26">
        <v>650</v>
      </c>
      <c r="H59" s="26">
        <v>0</v>
      </c>
      <c r="I59" s="24"/>
      <c r="J59" s="24"/>
      <c r="K59" s="26">
        <v>0</v>
      </c>
      <c r="L59" s="26">
        <v>66.260000000000005</v>
      </c>
      <c r="M59" s="26">
        <v>10.78</v>
      </c>
      <c r="N59" s="24"/>
    </row>
    <row r="60" spans="1:14" x14ac:dyDescent="0.3">
      <c r="A60" s="25" t="s">
        <v>164</v>
      </c>
      <c r="B60" s="25" t="s">
        <v>407</v>
      </c>
      <c r="C60" s="25" t="s">
        <v>51</v>
      </c>
      <c r="D60" s="25">
        <v>2011</v>
      </c>
      <c r="E60" s="27">
        <v>253.02178599999999</v>
      </c>
      <c r="F60" s="27">
        <v>650</v>
      </c>
      <c r="G60" s="27">
        <v>650</v>
      </c>
      <c r="H60" s="27">
        <v>0</v>
      </c>
      <c r="I60" s="25"/>
      <c r="J60" s="25"/>
      <c r="K60" s="27">
        <v>0</v>
      </c>
      <c r="L60" s="27">
        <v>66.260000000000005</v>
      </c>
      <c r="M60" s="27">
        <v>10.78</v>
      </c>
      <c r="N60" s="25"/>
    </row>
    <row r="61" spans="1:14" x14ac:dyDescent="0.3">
      <c r="A61" s="24" t="s">
        <v>164</v>
      </c>
      <c r="B61" s="24" t="s">
        <v>407</v>
      </c>
      <c r="C61" s="24" t="s">
        <v>51</v>
      </c>
      <c r="D61" s="24">
        <v>2012</v>
      </c>
      <c r="E61" s="26">
        <v>253.02178599999999</v>
      </c>
      <c r="F61" s="26">
        <v>650</v>
      </c>
      <c r="G61" s="26">
        <v>650</v>
      </c>
      <c r="H61" s="26">
        <v>0</v>
      </c>
      <c r="I61" s="24"/>
      <c r="J61" s="24"/>
      <c r="K61" s="26">
        <v>0</v>
      </c>
      <c r="L61" s="26">
        <v>66.260000000000005</v>
      </c>
      <c r="M61" s="26">
        <v>10.78</v>
      </c>
      <c r="N61" s="24"/>
    </row>
    <row r="62" spans="1:14" x14ac:dyDescent="0.3">
      <c r="A62" s="25" t="s">
        <v>164</v>
      </c>
      <c r="B62" s="25" t="s">
        <v>407</v>
      </c>
      <c r="C62" s="25" t="s">
        <v>51</v>
      </c>
      <c r="D62" s="25">
        <v>2013</v>
      </c>
      <c r="E62" s="27">
        <v>245.613068</v>
      </c>
      <c r="F62" s="27">
        <v>650</v>
      </c>
      <c r="G62" s="27">
        <v>650</v>
      </c>
      <c r="H62" s="27">
        <v>0</v>
      </c>
      <c r="I62" s="25"/>
      <c r="J62" s="25"/>
      <c r="K62" s="27">
        <v>0</v>
      </c>
      <c r="L62" s="27">
        <v>66.260000000000005</v>
      </c>
      <c r="M62" s="27">
        <v>10.78</v>
      </c>
      <c r="N62" s="25"/>
    </row>
    <row r="63" spans="1:14" x14ac:dyDescent="0.3">
      <c r="A63" s="24" t="s">
        <v>164</v>
      </c>
      <c r="B63" s="24" t="s">
        <v>407</v>
      </c>
      <c r="C63" s="24" t="s">
        <v>51</v>
      </c>
      <c r="D63" s="24">
        <v>2014</v>
      </c>
      <c r="E63" s="26">
        <v>546.26414599999998</v>
      </c>
      <c r="F63" s="26">
        <v>650</v>
      </c>
      <c r="G63" s="26">
        <v>650</v>
      </c>
      <c r="H63" s="26">
        <v>0</v>
      </c>
      <c r="I63" s="24"/>
      <c r="J63" s="24"/>
      <c r="K63" s="26">
        <v>0</v>
      </c>
      <c r="L63" s="26">
        <v>66.260000000000005</v>
      </c>
      <c r="M63" s="26">
        <v>10.78</v>
      </c>
      <c r="N63" s="24"/>
    </row>
    <row r="64" spans="1:14" x14ac:dyDescent="0.3">
      <c r="A64" s="25" t="s">
        <v>164</v>
      </c>
      <c r="B64" s="25" t="s">
        <v>407</v>
      </c>
      <c r="C64" s="25" t="s">
        <v>51</v>
      </c>
      <c r="D64" s="25">
        <v>2015</v>
      </c>
      <c r="E64" s="27">
        <v>302.931939</v>
      </c>
      <c r="F64" s="27">
        <v>650</v>
      </c>
      <c r="G64" s="27">
        <v>650</v>
      </c>
      <c r="H64" s="27">
        <v>0</v>
      </c>
      <c r="I64" s="25"/>
      <c r="J64" s="25"/>
      <c r="K64" s="27">
        <v>0</v>
      </c>
      <c r="L64" s="27">
        <v>66.260000000000005</v>
      </c>
      <c r="M64" s="27">
        <v>10.78</v>
      </c>
      <c r="N64" s="25"/>
    </row>
    <row r="65" spans="1:14" x14ac:dyDescent="0.3">
      <c r="A65" s="24" t="s">
        <v>164</v>
      </c>
      <c r="B65" s="24" t="s">
        <v>407</v>
      </c>
      <c r="C65" s="24" t="s">
        <v>51</v>
      </c>
      <c r="D65" s="24">
        <v>2016</v>
      </c>
      <c r="E65" s="26">
        <v>326.10550699999999</v>
      </c>
      <c r="F65" s="26">
        <v>650</v>
      </c>
      <c r="G65" s="26">
        <v>650</v>
      </c>
      <c r="H65" s="26">
        <v>0</v>
      </c>
      <c r="I65" s="24"/>
      <c r="J65" s="24"/>
      <c r="K65" s="26">
        <v>0</v>
      </c>
      <c r="L65" s="26">
        <v>66.260000000000005</v>
      </c>
      <c r="M65" s="26">
        <v>10.78</v>
      </c>
      <c r="N65" s="24"/>
    </row>
    <row r="66" spans="1:14" x14ac:dyDescent="0.3">
      <c r="A66" s="25" t="s">
        <v>164</v>
      </c>
      <c r="B66" s="25" t="s">
        <v>407</v>
      </c>
      <c r="C66" s="25" t="s">
        <v>51</v>
      </c>
      <c r="D66" s="25">
        <v>2017</v>
      </c>
      <c r="E66" s="27">
        <v>348.456256</v>
      </c>
      <c r="F66" s="27">
        <v>650</v>
      </c>
      <c r="G66" s="27">
        <v>650</v>
      </c>
      <c r="H66" s="27">
        <v>0</v>
      </c>
      <c r="I66" s="25"/>
      <c r="J66" s="25"/>
      <c r="K66" s="27">
        <v>0</v>
      </c>
      <c r="L66" s="27">
        <v>66.260000000000005</v>
      </c>
      <c r="M66" s="27">
        <v>10.78</v>
      </c>
      <c r="N66" s="25"/>
    </row>
    <row r="67" spans="1:14" x14ac:dyDescent="0.3">
      <c r="A67" s="24" t="s">
        <v>164</v>
      </c>
      <c r="B67" s="24" t="s">
        <v>407</v>
      </c>
      <c r="C67" s="24" t="s">
        <v>51</v>
      </c>
      <c r="D67" s="24">
        <v>2018</v>
      </c>
      <c r="E67" s="26">
        <v>721.71949099999995</v>
      </c>
      <c r="F67" s="26">
        <v>650</v>
      </c>
      <c r="G67" s="26">
        <v>650</v>
      </c>
      <c r="H67" s="26">
        <v>0</v>
      </c>
      <c r="I67" s="24"/>
      <c r="J67" s="24"/>
      <c r="K67" s="26">
        <v>0</v>
      </c>
      <c r="L67" s="26">
        <v>66.260000000000005</v>
      </c>
      <c r="M67" s="26">
        <v>10.78</v>
      </c>
      <c r="N67" s="24"/>
    </row>
    <row r="68" spans="1:14" x14ac:dyDescent="0.3">
      <c r="A68" s="25" t="s">
        <v>164</v>
      </c>
      <c r="B68" s="25" t="s">
        <v>407</v>
      </c>
      <c r="C68" s="25" t="s">
        <v>51</v>
      </c>
      <c r="D68" s="25">
        <v>2019</v>
      </c>
      <c r="E68" s="27">
        <v>764.50017400000002</v>
      </c>
      <c r="F68" s="27">
        <v>650</v>
      </c>
      <c r="G68" s="27">
        <v>650</v>
      </c>
      <c r="H68" s="27">
        <v>0</v>
      </c>
      <c r="I68" s="25"/>
      <c r="J68" s="25"/>
      <c r="K68" s="27">
        <v>0</v>
      </c>
      <c r="L68" s="27">
        <v>66.260000000000005</v>
      </c>
      <c r="M68" s="27">
        <v>10.78</v>
      </c>
      <c r="N68" s="25"/>
    </row>
    <row r="69" spans="1:14" x14ac:dyDescent="0.3">
      <c r="A69" s="24" t="s">
        <v>164</v>
      </c>
      <c r="B69" s="24" t="s">
        <v>407</v>
      </c>
      <c r="C69" s="24" t="s">
        <v>51</v>
      </c>
      <c r="D69" s="24">
        <v>2020</v>
      </c>
      <c r="E69" s="26">
        <v>339.71539799999999</v>
      </c>
      <c r="F69" s="26">
        <v>650</v>
      </c>
      <c r="G69" s="26">
        <v>650</v>
      </c>
      <c r="H69" s="26">
        <v>0</v>
      </c>
      <c r="I69" s="24"/>
      <c r="J69" s="24"/>
      <c r="K69" s="26">
        <v>0</v>
      </c>
      <c r="L69" s="26">
        <v>66.260000000000005</v>
      </c>
      <c r="M69" s="26">
        <v>10.78</v>
      </c>
      <c r="N69" s="24"/>
    </row>
    <row r="70" spans="1:14" x14ac:dyDescent="0.3">
      <c r="A70" s="25" t="s">
        <v>164</v>
      </c>
      <c r="B70" s="25" t="s">
        <v>407</v>
      </c>
      <c r="C70" s="25" t="s">
        <v>51</v>
      </c>
      <c r="D70" s="25">
        <v>2021</v>
      </c>
      <c r="E70" s="27">
        <v>436.41502100000002</v>
      </c>
      <c r="F70" s="27">
        <v>650</v>
      </c>
      <c r="G70" s="27">
        <v>650</v>
      </c>
      <c r="H70" s="27">
        <v>0</v>
      </c>
      <c r="I70" s="25"/>
      <c r="J70" s="25"/>
      <c r="K70" s="27">
        <v>0</v>
      </c>
      <c r="L70" s="27">
        <v>66.260000000000005</v>
      </c>
      <c r="M70" s="27">
        <v>10.78</v>
      </c>
      <c r="N70" s="25"/>
    </row>
    <row r="71" spans="1:14" x14ac:dyDescent="0.3">
      <c r="A71" s="24" t="s">
        <v>164</v>
      </c>
      <c r="B71" s="24" t="s">
        <v>407</v>
      </c>
      <c r="C71" s="24" t="s">
        <v>51</v>
      </c>
      <c r="D71" s="24">
        <v>2022</v>
      </c>
      <c r="E71" s="26">
        <v>485.92079799999999</v>
      </c>
      <c r="F71" s="26">
        <v>650</v>
      </c>
      <c r="G71" s="26">
        <v>650</v>
      </c>
      <c r="H71" s="26">
        <v>0</v>
      </c>
      <c r="I71" s="24"/>
      <c r="J71" s="24"/>
      <c r="K71" s="26">
        <v>0</v>
      </c>
      <c r="L71" s="26">
        <v>66.260000000000005</v>
      </c>
      <c r="M71" s="26">
        <v>10.78</v>
      </c>
      <c r="N71" s="24"/>
    </row>
    <row r="72" spans="1:14" x14ac:dyDescent="0.3">
      <c r="A72" s="25" t="s">
        <v>164</v>
      </c>
      <c r="B72" s="25" t="s">
        <v>407</v>
      </c>
      <c r="C72" s="25" t="s">
        <v>51</v>
      </c>
      <c r="D72" s="25">
        <v>2023</v>
      </c>
      <c r="E72" s="27">
        <v>551.13939900000003</v>
      </c>
      <c r="F72" s="27">
        <v>650</v>
      </c>
      <c r="G72" s="27">
        <v>650</v>
      </c>
      <c r="H72" s="27">
        <v>0</v>
      </c>
      <c r="I72" s="25"/>
      <c r="J72" s="25"/>
      <c r="K72" s="27">
        <v>0</v>
      </c>
      <c r="L72" s="27">
        <v>66.260000000000005</v>
      </c>
      <c r="M72" s="27">
        <v>10.78</v>
      </c>
      <c r="N72" s="25"/>
    </row>
    <row r="73" spans="1:14" x14ac:dyDescent="0.3">
      <c r="A73" s="24" t="s">
        <v>164</v>
      </c>
      <c r="B73" s="24" t="s">
        <v>407</v>
      </c>
      <c r="C73" s="24" t="s">
        <v>54</v>
      </c>
      <c r="D73" s="24">
        <v>1990</v>
      </c>
      <c r="E73" s="26">
        <v>22757.7</v>
      </c>
      <c r="F73" s="26">
        <v>404</v>
      </c>
      <c r="G73" s="26">
        <v>539</v>
      </c>
      <c r="H73" s="26">
        <v>0.375</v>
      </c>
      <c r="I73" s="24"/>
      <c r="J73" s="24"/>
      <c r="K73" s="26">
        <v>0.378303</v>
      </c>
      <c r="L73" s="26">
        <v>66.260000000000005</v>
      </c>
      <c r="M73" s="26">
        <v>10.78</v>
      </c>
      <c r="N73" s="24"/>
    </row>
    <row r="74" spans="1:14" x14ac:dyDescent="0.3">
      <c r="A74" s="25" t="s">
        <v>164</v>
      </c>
      <c r="B74" s="25" t="s">
        <v>407</v>
      </c>
      <c r="C74" s="25" t="s">
        <v>54</v>
      </c>
      <c r="D74" s="25">
        <v>1991</v>
      </c>
      <c r="E74" s="27">
        <v>22814.400000000001</v>
      </c>
      <c r="F74" s="27">
        <v>404</v>
      </c>
      <c r="G74" s="27">
        <v>539</v>
      </c>
      <c r="H74" s="27">
        <v>0.375309</v>
      </c>
      <c r="I74" s="25"/>
      <c r="J74" s="25"/>
      <c r="K74" s="27">
        <v>0.37984800000000002</v>
      </c>
      <c r="L74" s="27">
        <v>66.260000000000005</v>
      </c>
      <c r="M74" s="27">
        <v>10.78</v>
      </c>
      <c r="N74" s="25"/>
    </row>
    <row r="75" spans="1:14" x14ac:dyDescent="0.3">
      <c r="A75" s="24" t="s">
        <v>164</v>
      </c>
      <c r="B75" s="24" t="s">
        <v>407</v>
      </c>
      <c r="C75" s="24" t="s">
        <v>54</v>
      </c>
      <c r="D75" s="24">
        <v>1992</v>
      </c>
      <c r="E75" s="26">
        <v>23177.7</v>
      </c>
      <c r="F75" s="26">
        <v>404</v>
      </c>
      <c r="G75" s="26">
        <v>539</v>
      </c>
      <c r="H75" s="26">
        <v>0.375309</v>
      </c>
      <c r="I75" s="24"/>
      <c r="J75" s="24"/>
      <c r="K75" s="26">
        <v>0.362931</v>
      </c>
      <c r="L75" s="26">
        <v>66.260000000000005</v>
      </c>
      <c r="M75" s="26">
        <v>10.78</v>
      </c>
      <c r="N75" s="24"/>
    </row>
    <row r="76" spans="1:14" x14ac:dyDescent="0.3">
      <c r="A76" s="25" t="s">
        <v>164</v>
      </c>
      <c r="B76" s="25" t="s">
        <v>407</v>
      </c>
      <c r="C76" s="25" t="s">
        <v>54</v>
      </c>
      <c r="D76" s="25">
        <v>1993</v>
      </c>
      <c r="E76" s="27">
        <v>22260.7</v>
      </c>
      <c r="F76" s="27">
        <v>404</v>
      </c>
      <c r="G76" s="27">
        <v>539</v>
      </c>
      <c r="H76" s="27">
        <v>0.375309</v>
      </c>
      <c r="I76" s="25"/>
      <c r="J76" s="25"/>
      <c r="K76" s="27">
        <v>0.34476899999999999</v>
      </c>
      <c r="L76" s="27">
        <v>66.260000000000005</v>
      </c>
      <c r="M76" s="27">
        <v>10.78</v>
      </c>
      <c r="N76" s="25"/>
    </row>
    <row r="77" spans="1:14" x14ac:dyDescent="0.3">
      <c r="A77" s="24" t="s">
        <v>164</v>
      </c>
      <c r="B77" s="24" t="s">
        <v>407</v>
      </c>
      <c r="C77" s="24" t="s">
        <v>54</v>
      </c>
      <c r="D77" s="24">
        <v>1994</v>
      </c>
      <c r="E77" s="26">
        <v>20396.599999999999</v>
      </c>
      <c r="F77" s="26">
        <v>404</v>
      </c>
      <c r="G77" s="26">
        <v>539</v>
      </c>
      <c r="H77" s="26">
        <v>0.375309</v>
      </c>
      <c r="I77" s="24"/>
      <c r="J77" s="24"/>
      <c r="K77" s="26">
        <v>0.35290700000000003</v>
      </c>
      <c r="L77" s="26">
        <v>66.260000000000005</v>
      </c>
      <c r="M77" s="26">
        <v>10.78</v>
      </c>
      <c r="N77" s="24"/>
    </row>
    <row r="78" spans="1:14" x14ac:dyDescent="0.3">
      <c r="A78" s="25" t="s">
        <v>164</v>
      </c>
      <c r="B78" s="25" t="s">
        <v>407</v>
      </c>
      <c r="C78" s="25" t="s">
        <v>54</v>
      </c>
      <c r="D78" s="25">
        <v>1995</v>
      </c>
      <c r="E78" s="27">
        <v>19677</v>
      </c>
      <c r="F78" s="27">
        <v>404</v>
      </c>
      <c r="G78" s="27">
        <v>539</v>
      </c>
      <c r="H78" s="27">
        <v>0.375309</v>
      </c>
      <c r="I78" s="25"/>
      <c r="J78" s="25"/>
      <c r="K78" s="27">
        <v>0.374137</v>
      </c>
      <c r="L78" s="27">
        <v>66.260000000000005</v>
      </c>
      <c r="M78" s="27">
        <v>10.78</v>
      </c>
      <c r="N78" s="25"/>
    </row>
    <row r="79" spans="1:14" x14ac:dyDescent="0.3">
      <c r="A79" s="24" t="s">
        <v>164</v>
      </c>
      <c r="B79" s="24" t="s">
        <v>407</v>
      </c>
      <c r="C79" s="24" t="s">
        <v>54</v>
      </c>
      <c r="D79" s="24">
        <v>1996</v>
      </c>
      <c r="E79" s="26">
        <v>17983.7</v>
      </c>
      <c r="F79" s="26">
        <v>404</v>
      </c>
      <c r="G79" s="26">
        <v>539</v>
      </c>
      <c r="H79" s="26">
        <v>0.375309</v>
      </c>
      <c r="I79" s="24"/>
      <c r="J79" s="24"/>
      <c r="K79" s="26">
        <v>0.33521499999999999</v>
      </c>
      <c r="L79" s="26">
        <v>66.260000000000005</v>
      </c>
      <c r="M79" s="26">
        <v>10.78</v>
      </c>
      <c r="N79" s="24"/>
    </row>
    <row r="80" spans="1:14" x14ac:dyDescent="0.3">
      <c r="A80" s="25" t="s">
        <v>164</v>
      </c>
      <c r="B80" s="25" t="s">
        <v>407</v>
      </c>
      <c r="C80" s="25" t="s">
        <v>54</v>
      </c>
      <c r="D80" s="25">
        <v>1997</v>
      </c>
      <c r="E80" s="27">
        <v>19351.072748999999</v>
      </c>
      <c r="F80" s="27">
        <v>404</v>
      </c>
      <c r="G80" s="27">
        <v>539</v>
      </c>
      <c r="H80" s="27">
        <v>0.375309</v>
      </c>
      <c r="I80" s="25"/>
      <c r="J80" s="25"/>
      <c r="K80" s="27">
        <v>0.36191899999999999</v>
      </c>
      <c r="L80" s="27">
        <v>66.260000000000005</v>
      </c>
      <c r="M80" s="27">
        <v>10.78</v>
      </c>
      <c r="N80" s="25"/>
    </row>
    <row r="81" spans="1:14" x14ac:dyDescent="0.3">
      <c r="A81" s="24" t="s">
        <v>164</v>
      </c>
      <c r="B81" s="24" t="s">
        <v>407</v>
      </c>
      <c r="C81" s="24" t="s">
        <v>54</v>
      </c>
      <c r="D81" s="24">
        <v>1998</v>
      </c>
      <c r="E81" s="26">
        <v>19691.862650999999</v>
      </c>
      <c r="F81" s="26">
        <v>404</v>
      </c>
      <c r="G81" s="26">
        <v>539</v>
      </c>
      <c r="H81" s="26">
        <v>0.375309</v>
      </c>
      <c r="I81" s="24"/>
      <c r="J81" s="24"/>
      <c r="K81" s="26">
        <v>0.355655</v>
      </c>
      <c r="L81" s="26">
        <v>66.260000000000005</v>
      </c>
      <c r="M81" s="26">
        <v>10.78</v>
      </c>
      <c r="N81" s="24"/>
    </row>
    <row r="82" spans="1:14" x14ac:dyDescent="0.3">
      <c r="A82" s="25" t="s">
        <v>164</v>
      </c>
      <c r="B82" s="25" t="s">
        <v>407</v>
      </c>
      <c r="C82" s="25" t="s">
        <v>54</v>
      </c>
      <c r="D82" s="25">
        <v>1999</v>
      </c>
      <c r="E82" s="27">
        <v>17852.878396</v>
      </c>
      <c r="F82" s="27">
        <v>404</v>
      </c>
      <c r="G82" s="27">
        <v>539</v>
      </c>
      <c r="H82" s="27">
        <v>0.375309</v>
      </c>
      <c r="I82" s="25"/>
      <c r="J82" s="25"/>
      <c r="K82" s="27">
        <v>0.36191899999999999</v>
      </c>
      <c r="L82" s="27">
        <v>66.260000000000005</v>
      </c>
      <c r="M82" s="27">
        <v>10.78</v>
      </c>
      <c r="N82" s="25"/>
    </row>
    <row r="83" spans="1:14" x14ac:dyDescent="0.3">
      <c r="A83" s="24" t="s">
        <v>164</v>
      </c>
      <c r="B83" s="24" t="s">
        <v>407</v>
      </c>
      <c r="C83" s="24" t="s">
        <v>54</v>
      </c>
      <c r="D83" s="24">
        <v>2000</v>
      </c>
      <c r="E83" s="26">
        <v>14273.818267000001</v>
      </c>
      <c r="F83" s="26">
        <v>404</v>
      </c>
      <c r="G83" s="26">
        <v>539</v>
      </c>
      <c r="H83" s="26">
        <v>0.375309</v>
      </c>
      <c r="I83" s="24"/>
      <c r="J83" s="24"/>
      <c r="K83" s="26">
        <v>0.36191899999999999</v>
      </c>
      <c r="L83" s="26">
        <v>66.260000000000005</v>
      </c>
      <c r="M83" s="26">
        <v>10.78</v>
      </c>
      <c r="N83" s="24"/>
    </row>
    <row r="84" spans="1:14" x14ac:dyDescent="0.3">
      <c r="A84" s="25" t="s">
        <v>164</v>
      </c>
      <c r="B84" s="25" t="s">
        <v>407</v>
      </c>
      <c r="C84" s="25" t="s">
        <v>54</v>
      </c>
      <c r="D84" s="25">
        <v>2001</v>
      </c>
      <c r="E84" s="27">
        <v>20844.190934999999</v>
      </c>
      <c r="F84" s="27">
        <v>404</v>
      </c>
      <c r="G84" s="27">
        <v>539</v>
      </c>
      <c r="H84" s="27">
        <v>0.375309</v>
      </c>
      <c r="I84" s="25"/>
      <c r="J84" s="25"/>
      <c r="K84" s="27">
        <v>0.36191899999999999</v>
      </c>
      <c r="L84" s="27">
        <v>66.260000000000005</v>
      </c>
      <c r="M84" s="27">
        <v>10.78</v>
      </c>
      <c r="N84" s="25"/>
    </row>
    <row r="85" spans="1:14" x14ac:dyDescent="0.3">
      <c r="A85" s="24" t="s">
        <v>164</v>
      </c>
      <c r="B85" s="24" t="s">
        <v>407</v>
      </c>
      <c r="C85" s="24" t="s">
        <v>54</v>
      </c>
      <c r="D85" s="24">
        <v>2002</v>
      </c>
      <c r="E85" s="26">
        <v>18293.779735</v>
      </c>
      <c r="F85" s="26">
        <v>404</v>
      </c>
      <c r="G85" s="26">
        <v>539</v>
      </c>
      <c r="H85" s="26">
        <v>0.375309</v>
      </c>
      <c r="I85" s="24"/>
      <c r="J85" s="24"/>
      <c r="K85" s="26">
        <v>0.36191899999999999</v>
      </c>
      <c r="L85" s="26">
        <v>66.260000000000005</v>
      </c>
      <c r="M85" s="26">
        <v>10.78</v>
      </c>
      <c r="N85" s="24"/>
    </row>
    <row r="86" spans="1:14" x14ac:dyDescent="0.3">
      <c r="A86" s="25" t="s">
        <v>164</v>
      </c>
      <c r="B86" s="25" t="s">
        <v>407</v>
      </c>
      <c r="C86" s="25" t="s">
        <v>54</v>
      </c>
      <c r="D86" s="25">
        <v>2003</v>
      </c>
      <c r="E86" s="27">
        <v>15449.313448999999</v>
      </c>
      <c r="F86" s="27">
        <v>404</v>
      </c>
      <c r="G86" s="27">
        <v>539</v>
      </c>
      <c r="H86" s="27">
        <v>0.375309</v>
      </c>
      <c r="I86" s="25"/>
      <c r="J86" s="25"/>
      <c r="K86" s="27">
        <v>0.36191899999999999</v>
      </c>
      <c r="L86" s="27">
        <v>66.260000000000005</v>
      </c>
      <c r="M86" s="27">
        <v>10.78</v>
      </c>
      <c r="N86" s="25"/>
    </row>
    <row r="87" spans="1:14" x14ac:dyDescent="0.3">
      <c r="A87" s="24" t="s">
        <v>164</v>
      </c>
      <c r="B87" s="24" t="s">
        <v>407</v>
      </c>
      <c r="C87" s="24" t="s">
        <v>54</v>
      </c>
      <c r="D87" s="24">
        <v>2004</v>
      </c>
      <c r="E87" s="26">
        <v>11080.546808999999</v>
      </c>
      <c r="F87" s="26">
        <v>404</v>
      </c>
      <c r="G87" s="26">
        <v>539</v>
      </c>
      <c r="H87" s="26">
        <v>0.375309</v>
      </c>
      <c r="I87" s="24"/>
      <c r="J87" s="24"/>
      <c r="K87" s="26">
        <v>0.36191899999999999</v>
      </c>
      <c r="L87" s="26">
        <v>66.260000000000005</v>
      </c>
      <c r="M87" s="26">
        <v>10.78</v>
      </c>
      <c r="N87" s="24"/>
    </row>
    <row r="88" spans="1:14" x14ac:dyDescent="0.3">
      <c r="A88" s="25" t="s">
        <v>164</v>
      </c>
      <c r="B88" s="25" t="s">
        <v>407</v>
      </c>
      <c r="C88" s="25" t="s">
        <v>54</v>
      </c>
      <c r="D88" s="25">
        <v>2005</v>
      </c>
      <c r="E88" s="27">
        <v>11080.546808999999</v>
      </c>
      <c r="F88" s="27">
        <v>404</v>
      </c>
      <c r="G88" s="27">
        <v>539</v>
      </c>
      <c r="H88" s="27">
        <v>0.375309</v>
      </c>
      <c r="I88" s="25"/>
      <c r="J88" s="25"/>
      <c r="K88" s="27">
        <v>0.36191899999999999</v>
      </c>
      <c r="L88" s="27">
        <v>66.260000000000005</v>
      </c>
      <c r="M88" s="27">
        <v>10.78</v>
      </c>
      <c r="N88" s="25"/>
    </row>
    <row r="89" spans="1:14" x14ac:dyDescent="0.3">
      <c r="A89" s="24" t="s">
        <v>164</v>
      </c>
      <c r="B89" s="24" t="s">
        <v>407</v>
      </c>
      <c r="C89" s="24" t="s">
        <v>54</v>
      </c>
      <c r="D89" s="24">
        <v>2006</v>
      </c>
      <c r="E89" s="26">
        <v>11080.546808999999</v>
      </c>
      <c r="F89" s="26">
        <v>404</v>
      </c>
      <c r="G89" s="26">
        <v>539</v>
      </c>
      <c r="H89" s="26">
        <v>0.375309</v>
      </c>
      <c r="I89" s="24"/>
      <c r="J89" s="24"/>
      <c r="K89" s="26">
        <v>0.36191899999999999</v>
      </c>
      <c r="L89" s="26">
        <v>66.260000000000005</v>
      </c>
      <c r="M89" s="26">
        <v>10.78</v>
      </c>
      <c r="N89" s="24"/>
    </row>
    <row r="90" spans="1:14" x14ac:dyDescent="0.3">
      <c r="A90" s="25" t="s">
        <v>164</v>
      </c>
      <c r="B90" s="25" t="s">
        <v>407</v>
      </c>
      <c r="C90" s="25" t="s">
        <v>54</v>
      </c>
      <c r="D90" s="25">
        <v>2007</v>
      </c>
      <c r="E90" s="27">
        <v>11080.546808999999</v>
      </c>
      <c r="F90" s="27">
        <v>404</v>
      </c>
      <c r="G90" s="27">
        <v>539</v>
      </c>
      <c r="H90" s="27">
        <v>0.375309</v>
      </c>
      <c r="I90" s="25"/>
      <c r="J90" s="25"/>
      <c r="K90" s="27">
        <v>0.36191899999999999</v>
      </c>
      <c r="L90" s="27">
        <v>66.260000000000005</v>
      </c>
      <c r="M90" s="27">
        <v>10.78</v>
      </c>
      <c r="N90" s="25"/>
    </row>
    <row r="91" spans="1:14" x14ac:dyDescent="0.3">
      <c r="A91" s="24" t="s">
        <v>164</v>
      </c>
      <c r="B91" s="24" t="s">
        <v>407</v>
      </c>
      <c r="C91" s="24" t="s">
        <v>54</v>
      </c>
      <c r="D91" s="24">
        <v>2008</v>
      </c>
      <c r="E91" s="26">
        <v>8339.4167739999994</v>
      </c>
      <c r="F91" s="26">
        <v>404</v>
      </c>
      <c r="G91" s="26">
        <v>539</v>
      </c>
      <c r="H91" s="26">
        <v>0.375309</v>
      </c>
      <c r="I91" s="24"/>
      <c r="J91" s="24"/>
      <c r="K91" s="26">
        <v>0.36191899999999999</v>
      </c>
      <c r="L91" s="26">
        <v>66.260000000000005</v>
      </c>
      <c r="M91" s="26">
        <v>10.78</v>
      </c>
      <c r="N91" s="24"/>
    </row>
    <row r="92" spans="1:14" x14ac:dyDescent="0.3">
      <c r="A92" s="25" t="s">
        <v>164</v>
      </c>
      <c r="B92" s="25" t="s">
        <v>407</v>
      </c>
      <c r="C92" s="25" t="s">
        <v>54</v>
      </c>
      <c r="D92" s="25">
        <v>2009</v>
      </c>
      <c r="E92" s="27">
        <v>7191.0315739999996</v>
      </c>
      <c r="F92" s="27">
        <v>404</v>
      </c>
      <c r="G92" s="27">
        <v>539</v>
      </c>
      <c r="H92" s="27">
        <v>0.375309</v>
      </c>
      <c r="I92" s="25"/>
      <c r="J92" s="25"/>
      <c r="K92" s="27">
        <v>0.260019</v>
      </c>
      <c r="L92" s="27">
        <v>66.260000000000005</v>
      </c>
      <c r="M92" s="27">
        <v>10.78</v>
      </c>
      <c r="N92" s="25"/>
    </row>
    <row r="93" spans="1:14" x14ac:dyDescent="0.3">
      <c r="A93" s="24" t="s">
        <v>164</v>
      </c>
      <c r="B93" s="24" t="s">
        <v>407</v>
      </c>
      <c r="C93" s="24" t="s">
        <v>54</v>
      </c>
      <c r="D93" s="24">
        <v>2010</v>
      </c>
      <c r="E93" s="26">
        <v>8339.4167739999994</v>
      </c>
      <c r="F93" s="26">
        <v>404</v>
      </c>
      <c r="G93" s="26">
        <v>539</v>
      </c>
      <c r="H93" s="26">
        <v>0.375309</v>
      </c>
      <c r="I93" s="24"/>
      <c r="J93" s="24"/>
      <c r="K93" s="26">
        <v>0.36191899999999999</v>
      </c>
      <c r="L93" s="26">
        <v>66.260000000000005</v>
      </c>
      <c r="M93" s="26">
        <v>10.78</v>
      </c>
      <c r="N93" s="24"/>
    </row>
    <row r="94" spans="1:14" x14ac:dyDescent="0.3">
      <c r="A94" s="25" t="s">
        <v>164</v>
      </c>
      <c r="B94" s="25" t="s">
        <v>407</v>
      </c>
      <c r="C94" s="25" t="s">
        <v>54</v>
      </c>
      <c r="D94" s="25">
        <v>2011</v>
      </c>
      <c r="E94" s="27">
        <v>5869.4990749999997</v>
      </c>
      <c r="F94" s="27">
        <v>404</v>
      </c>
      <c r="G94" s="27">
        <v>539</v>
      </c>
      <c r="H94" s="27">
        <v>0.375309</v>
      </c>
      <c r="I94" s="25"/>
      <c r="J94" s="25"/>
      <c r="K94" s="27">
        <v>0.36191899999999999</v>
      </c>
      <c r="L94" s="27">
        <v>66.260000000000005</v>
      </c>
      <c r="M94" s="27">
        <v>10.78</v>
      </c>
      <c r="N94" s="25"/>
    </row>
    <row r="95" spans="1:14" x14ac:dyDescent="0.3">
      <c r="A95" s="24" t="s">
        <v>164</v>
      </c>
      <c r="B95" s="24" t="s">
        <v>407</v>
      </c>
      <c r="C95" s="24" t="s">
        <v>54</v>
      </c>
      <c r="D95" s="24">
        <v>2012</v>
      </c>
      <c r="E95" s="26">
        <v>5869.4990749999997</v>
      </c>
      <c r="F95" s="26">
        <v>404</v>
      </c>
      <c r="G95" s="26">
        <v>539</v>
      </c>
      <c r="H95" s="26">
        <v>0.375309</v>
      </c>
      <c r="I95" s="24"/>
      <c r="J95" s="24"/>
      <c r="K95" s="26">
        <v>0.36191899999999999</v>
      </c>
      <c r="L95" s="26">
        <v>66.260000000000005</v>
      </c>
      <c r="M95" s="26">
        <v>10.78</v>
      </c>
      <c r="N95" s="24"/>
    </row>
    <row r="96" spans="1:14" x14ac:dyDescent="0.3">
      <c r="A96" s="25" t="s">
        <v>164</v>
      </c>
      <c r="B96" s="25" t="s">
        <v>407</v>
      </c>
      <c r="C96" s="25" t="s">
        <v>54</v>
      </c>
      <c r="D96" s="25">
        <v>2013</v>
      </c>
      <c r="E96" s="27">
        <v>5697.6345730000003</v>
      </c>
      <c r="F96" s="27">
        <v>404</v>
      </c>
      <c r="G96" s="27">
        <v>539</v>
      </c>
      <c r="H96" s="27">
        <v>0.375309</v>
      </c>
      <c r="I96" s="25"/>
      <c r="J96" s="25"/>
      <c r="K96" s="27">
        <v>0.36191899999999999</v>
      </c>
      <c r="L96" s="27">
        <v>66.260000000000005</v>
      </c>
      <c r="M96" s="27">
        <v>10.78</v>
      </c>
      <c r="N96" s="25"/>
    </row>
    <row r="97" spans="1:14" x14ac:dyDescent="0.3">
      <c r="A97" s="24" t="s">
        <v>164</v>
      </c>
      <c r="B97" s="24" t="s">
        <v>407</v>
      </c>
      <c r="C97" s="24" t="s">
        <v>54</v>
      </c>
      <c r="D97" s="24">
        <v>2014</v>
      </c>
      <c r="E97" s="26">
        <v>5828.4345350000003</v>
      </c>
      <c r="F97" s="26">
        <v>404</v>
      </c>
      <c r="G97" s="26">
        <v>539</v>
      </c>
      <c r="H97" s="26">
        <v>0.375309</v>
      </c>
      <c r="I97" s="24"/>
      <c r="J97" s="24"/>
      <c r="K97" s="26">
        <v>0.39571600000000001</v>
      </c>
      <c r="L97" s="26">
        <v>66.260000000000005</v>
      </c>
      <c r="M97" s="26">
        <v>10.78</v>
      </c>
      <c r="N97" s="24"/>
    </row>
    <row r="98" spans="1:14" x14ac:dyDescent="0.3">
      <c r="A98" s="25" t="s">
        <v>164</v>
      </c>
      <c r="B98" s="25" t="s">
        <v>407</v>
      </c>
      <c r="C98" s="25" t="s">
        <v>54</v>
      </c>
      <c r="D98" s="25">
        <v>2015</v>
      </c>
      <c r="E98" s="27">
        <v>7027.2950110000002</v>
      </c>
      <c r="F98" s="27">
        <v>404</v>
      </c>
      <c r="G98" s="27">
        <v>539</v>
      </c>
      <c r="H98" s="27">
        <v>0.375309</v>
      </c>
      <c r="I98" s="25"/>
      <c r="J98" s="25"/>
      <c r="K98" s="27">
        <v>0.36191899999999999</v>
      </c>
      <c r="L98" s="27">
        <v>66.260000000000005</v>
      </c>
      <c r="M98" s="27">
        <v>10.78</v>
      </c>
      <c r="N98" s="25"/>
    </row>
    <row r="99" spans="1:14" x14ac:dyDescent="0.3">
      <c r="A99" s="24" t="s">
        <v>164</v>
      </c>
      <c r="B99" s="24" t="s">
        <v>407</v>
      </c>
      <c r="C99" s="24" t="s">
        <v>54</v>
      </c>
      <c r="D99" s="24">
        <v>2016</v>
      </c>
      <c r="E99" s="26">
        <v>7564.8662469999999</v>
      </c>
      <c r="F99" s="26">
        <v>404</v>
      </c>
      <c r="G99" s="26">
        <v>539</v>
      </c>
      <c r="H99" s="26">
        <v>0.375309</v>
      </c>
      <c r="I99" s="24"/>
      <c r="J99" s="24"/>
      <c r="K99" s="26">
        <v>0.36191899999999999</v>
      </c>
      <c r="L99" s="26">
        <v>66.260000000000005</v>
      </c>
      <c r="M99" s="26">
        <v>10.78</v>
      </c>
      <c r="N99" s="24"/>
    </row>
    <row r="100" spans="1:14" x14ac:dyDescent="0.3">
      <c r="A100" s="25" t="s">
        <v>164</v>
      </c>
      <c r="B100" s="25" t="s">
        <v>407</v>
      </c>
      <c r="C100" s="25" t="s">
        <v>54</v>
      </c>
      <c r="D100" s="25">
        <v>2017</v>
      </c>
      <c r="E100" s="27">
        <v>8083.3500610000001</v>
      </c>
      <c r="F100" s="27">
        <v>404</v>
      </c>
      <c r="G100" s="27">
        <v>539</v>
      </c>
      <c r="H100" s="27">
        <v>0.375309</v>
      </c>
      <c r="I100" s="25"/>
      <c r="J100" s="25"/>
      <c r="K100" s="27">
        <v>0.36191899999999999</v>
      </c>
      <c r="L100" s="27">
        <v>66.260000000000005</v>
      </c>
      <c r="M100" s="27">
        <v>10.78</v>
      </c>
      <c r="N100" s="25"/>
    </row>
    <row r="101" spans="1:14" x14ac:dyDescent="0.3">
      <c r="A101" s="24" t="s">
        <v>164</v>
      </c>
      <c r="B101" s="24" t="s">
        <v>407</v>
      </c>
      <c r="C101" s="24" t="s">
        <v>54</v>
      </c>
      <c r="D101" s="24">
        <v>2018</v>
      </c>
      <c r="E101" s="26">
        <v>6927.5772120000001</v>
      </c>
      <c r="F101" s="26">
        <v>404</v>
      </c>
      <c r="G101" s="26">
        <v>539</v>
      </c>
      <c r="H101" s="26">
        <v>0.375309</v>
      </c>
      <c r="I101" s="24"/>
      <c r="J101" s="24"/>
      <c r="K101" s="26">
        <v>0.39554600000000001</v>
      </c>
      <c r="L101" s="26">
        <v>66.260000000000005</v>
      </c>
      <c r="M101" s="26">
        <v>10.78</v>
      </c>
      <c r="N101" s="24"/>
    </row>
    <row r="102" spans="1:14" x14ac:dyDescent="0.3">
      <c r="A102" s="25" t="s">
        <v>164</v>
      </c>
      <c r="B102" s="25" t="s">
        <v>407</v>
      </c>
      <c r="C102" s="25" t="s">
        <v>54</v>
      </c>
      <c r="D102" s="25">
        <v>2019</v>
      </c>
      <c r="E102" s="27">
        <v>7602.1712239999997</v>
      </c>
      <c r="F102" s="27">
        <v>404</v>
      </c>
      <c r="G102" s="27">
        <v>539</v>
      </c>
      <c r="H102" s="27">
        <v>0.375309</v>
      </c>
      <c r="I102" s="25"/>
      <c r="J102" s="25"/>
      <c r="K102" s="27">
        <v>0.39560499999999998</v>
      </c>
      <c r="L102" s="27">
        <v>66.260000000000005</v>
      </c>
      <c r="M102" s="27">
        <v>10.78</v>
      </c>
      <c r="N102" s="25"/>
    </row>
    <row r="103" spans="1:14" x14ac:dyDescent="0.3">
      <c r="A103" s="24" t="s">
        <v>164</v>
      </c>
      <c r="B103" s="24" t="s">
        <v>407</v>
      </c>
      <c r="C103" s="24" t="s">
        <v>54</v>
      </c>
      <c r="D103" s="24">
        <v>2020</v>
      </c>
      <c r="E103" s="26">
        <v>7880.5830990000004</v>
      </c>
      <c r="F103" s="26">
        <v>404</v>
      </c>
      <c r="G103" s="26">
        <v>539</v>
      </c>
      <c r="H103" s="26">
        <v>0.375309</v>
      </c>
      <c r="I103" s="24"/>
      <c r="J103" s="24"/>
      <c r="K103" s="26">
        <v>0.36191899999999999</v>
      </c>
      <c r="L103" s="26">
        <v>66.260000000000005</v>
      </c>
      <c r="M103" s="26">
        <v>10.78</v>
      </c>
      <c r="N103" s="24"/>
    </row>
    <row r="104" spans="1:14" x14ac:dyDescent="0.3">
      <c r="A104" s="25" t="s">
        <v>164</v>
      </c>
      <c r="B104" s="25" t="s">
        <v>407</v>
      </c>
      <c r="C104" s="25" t="s">
        <v>54</v>
      </c>
      <c r="D104" s="25">
        <v>2021</v>
      </c>
      <c r="E104" s="27">
        <v>10123.782616</v>
      </c>
      <c r="F104" s="27">
        <v>404</v>
      </c>
      <c r="G104" s="27">
        <v>539</v>
      </c>
      <c r="H104" s="27">
        <v>0.375309</v>
      </c>
      <c r="I104" s="25"/>
      <c r="J104" s="25"/>
      <c r="K104" s="27">
        <v>0.36191899999999999</v>
      </c>
      <c r="L104" s="27">
        <v>66.260000000000005</v>
      </c>
      <c r="M104" s="27">
        <v>10.78</v>
      </c>
      <c r="N104" s="25"/>
    </row>
    <row r="105" spans="1:14" x14ac:dyDescent="0.3">
      <c r="A105" s="24" t="s">
        <v>164</v>
      </c>
      <c r="B105" s="24" t="s">
        <v>407</v>
      </c>
      <c r="C105" s="24" t="s">
        <v>54</v>
      </c>
      <c r="D105" s="24">
        <v>2022</v>
      </c>
      <c r="E105" s="26">
        <v>11272.198001999999</v>
      </c>
      <c r="F105" s="26">
        <v>404</v>
      </c>
      <c r="G105" s="26">
        <v>539</v>
      </c>
      <c r="H105" s="26">
        <v>0.375309</v>
      </c>
      <c r="I105" s="24"/>
      <c r="J105" s="24"/>
      <c r="K105" s="26">
        <v>0.36191899999999999</v>
      </c>
      <c r="L105" s="26">
        <v>66.260000000000005</v>
      </c>
      <c r="M105" s="26">
        <v>10.78</v>
      </c>
      <c r="N105" s="24"/>
    </row>
    <row r="106" spans="1:14" x14ac:dyDescent="0.3">
      <c r="A106" s="25" t="s">
        <v>164</v>
      </c>
      <c r="B106" s="25" t="s">
        <v>407</v>
      </c>
      <c r="C106" s="25" t="s">
        <v>54</v>
      </c>
      <c r="D106" s="25">
        <v>2023</v>
      </c>
      <c r="E106" s="27">
        <v>12660.834467000001</v>
      </c>
      <c r="F106" s="27">
        <v>404</v>
      </c>
      <c r="G106" s="27">
        <v>539</v>
      </c>
      <c r="H106" s="27">
        <v>0.375309</v>
      </c>
      <c r="I106" s="25"/>
      <c r="J106" s="25"/>
      <c r="K106" s="27">
        <v>0.36191899999999999</v>
      </c>
      <c r="L106" s="27">
        <v>66.260000000000005</v>
      </c>
      <c r="M106" s="27">
        <v>10.78</v>
      </c>
      <c r="N106" s="25"/>
    </row>
    <row r="107" spans="1:14" x14ac:dyDescent="0.3">
      <c r="A107" s="24" t="s">
        <v>164</v>
      </c>
      <c r="B107" s="24" t="s">
        <v>407</v>
      </c>
      <c r="C107" s="24" t="s">
        <v>56</v>
      </c>
      <c r="D107" s="24">
        <v>1990</v>
      </c>
      <c r="E107" s="26">
        <v>405.3</v>
      </c>
      <c r="F107" s="26">
        <v>417</v>
      </c>
      <c r="G107" s="26">
        <v>650</v>
      </c>
      <c r="H107" s="26">
        <v>0.39900000000000002</v>
      </c>
      <c r="I107" s="24"/>
      <c r="J107" s="24"/>
      <c r="K107" s="26">
        <v>0</v>
      </c>
      <c r="L107" s="26">
        <v>66.260000000000005</v>
      </c>
      <c r="M107" s="26">
        <v>10.78</v>
      </c>
      <c r="N107" s="24"/>
    </row>
    <row r="108" spans="1:14" x14ac:dyDescent="0.3">
      <c r="A108" s="25" t="s">
        <v>164</v>
      </c>
      <c r="B108" s="25" t="s">
        <v>407</v>
      </c>
      <c r="C108" s="25" t="s">
        <v>56</v>
      </c>
      <c r="D108" s="25">
        <v>1991</v>
      </c>
      <c r="E108" s="27">
        <v>576.1</v>
      </c>
      <c r="F108" s="27">
        <v>417</v>
      </c>
      <c r="G108" s="27">
        <v>650</v>
      </c>
      <c r="H108" s="27">
        <v>0.39932800000000002</v>
      </c>
      <c r="I108" s="25"/>
      <c r="J108" s="25"/>
      <c r="K108" s="27">
        <v>0</v>
      </c>
      <c r="L108" s="27">
        <v>66.260000000000005</v>
      </c>
      <c r="M108" s="27">
        <v>10.78</v>
      </c>
      <c r="N108" s="25"/>
    </row>
    <row r="109" spans="1:14" x14ac:dyDescent="0.3">
      <c r="A109" s="24" t="s">
        <v>164</v>
      </c>
      <c r="B109" s="24" t="s">
        <v>407</v>
      </c>
      <c r="C109" s="24" t="s">
        <v>56</v>
      </c>
      <c r="D109" s="24">
        <v>1992</v>
      </c>
      <c r="E109" s="26">
        <v>457.8</v>
      </c>
      <c r="F109" s="26">
        <v>417</v>
      </c>
      <c r="G109" s="26">
        <v>650</v>
      </c>
      <c r="H109" s="26">
        <v>0.39932800000000002</v>
      </c>
      <c r="I109" s="24"/>
      <c r="J109" s="24"/>
      <c r="K109" s="26">
        <v>0</v>
      </c>
      <c r="L109" s="26">
        <v>66.260000000000005</v>
      </c>
      <c r="M109" s="26">
        <v>10.78</v>
      </c>
      <c r="N109" s="24"/>
    </row>
    <row r="110" spans="1:14" x14ac:dyDescent="0.3">
      <c r="A110" s="25" t="s">
        <v>164</v>
      </c>
      <c r="B110" s="25" t="s">
        <v>407</v>
      </c>
      <c r="C110" s="25" t="s">
        <v>56</v>
      </c>
      <c r="D110" s="25">
        <v>1993</v>
      </c>
      <c r="E110" s="27">
        <v>378.7</v>
      </c>
      <c r="F110" s="27">
        <v>417</v>
      </c>
      <c r="G110" s="27">
        <v>650</v>
      </c>
      <c r="H110" s="27">
        <v>0.39932800000000002</v>
      </c>
      <c r="I110" s="25"/>
      <c r="J110" s="25"/>
      <c r="K110" s="27">
        <v>0</v>
      </c>
      <c r="L110" s="27">
        <v>66.260000000000005</v>
      </c>
      <c r="M110" s="27">
        <v>10.78</v>
      </c>
      <c r="N110" s="25"/>
    </row>
    <row r="111" spans="1:14" x14ac:dyDescent="0.3">
      <c r="A111" s="24" t="s">
        <v>164</v>
      </c>
      <c r="B111" s="24" t="s">
        <v>407</v>
      </c>
      <c r="C111" s="24" t="s">
        <v>56</v>
      </c>
      <c r="D111" s="24">
        <v>1994</v>
      </c>
      <c r="E111" s="26">
        <v>297.5</v>
      </c>
      <c r="F111" s="26">
        <v>417</v>
      </c>
      <c r="G111" s="26">
        <v>650</v>
      </c>
      <c r="H111" s="26">
        <v>0.39932800000000002</v>
      </c>
      <c r="I111" s="24"/>
      <c r="J111" s="24"/>
      <c r="K111" s="26">
        <v>0</v>
      </c>
      <c r="L111" s="26">
        <v>66.260000000000005</v>
      </c>
      <c r="M111" s="26">
        <v>10.78</v>
      </c>
      <c r="N111" s="24"/>
    </row>
    <row r="112" spans="1:14" x14ac:dyDescent="0.3">
      <c r="A112" s="25" t="s">
        <v>164</v>
      </c>
      <c r="B112" s="25" t="s">
        <v>407</v>
      </c>
      <c r="C112" s="25" t="s">
        <v>56</v>
      </c>
      <c r="D112" s="25">
        <v>1995</v>
      </c>
      <c r="E112" s="27">
        <v>375.9</v>
      </c>
      <c r="F112" s="27">
        <v>417</v>
      </c>
      <c r="G112" s="27">
        <v>650</v>
      </c>
      <c r="H112" s="27">
        <v>0.39932800000000002</v>
      </c>
      <c r="I112" s="25"/>
      <c r="J112" s="25"/>
      <c r="K112" s="27">
        <v>0</v>
      </c>
      <c r="L112" s="27">
        <v>66.260000000000005</v>
      </c>
      <c r="M112" s="27">
        <v>10.78</v>
      </c>
      <c r="N112" s="25"/>
    </row>
    <row r="113" spans="1:14" x14ac:dyDescent="0.3">
      <c r="A113" s="24" t="s">
        <v>164</v>
      </c>
      <c r="B113" s="24" t="s">
        <v>407</v>
      </c>
      <c r="C113" s="24" t="s">
        <v>56</v>
      </c>
      <c r="D113" s="24">
        <v>1996</v>
      </c>
      <c r="E113" s="26">
        <v>412.3</v>
      </c>
      <c r="F113" s="26">
        <v>417</v>
      </c>
      <c r="G113" s="26">
        <v>650</v>
      </c>
      <c r="H113" s="26">
        <v>0.39932800000000002</v>
      </c>
      <c r="I113" s="24"/>
      <c r="J113" s="24"/>
      <c r="K113" s="26">
        <v>0</v>
      </c>
      <c r="L113" s="26">
        <v>66.260000000000005</v>
      </c>
      <c r="M113" s="26">
        <v>10.78</v>
      </c>
      <c r="N113" s="24"/>
    </row>
    <row r="114" spans="1:14" x14ac:dyDescent="0.3">
      <c r="A114" s="25" t="s">
        <v>164</v>
      </c>
      <c r="B114" s="25" t="s">
        <v>407</v>
      </c>
      <c r="C114" s="25" t="s">
        <v>56</v>
      </c>
      <c r="D114" s="25">
        <v>1997</v>
      </c>
      <c r="E114" s="27">
        <v>376.92764499999998</v>
      </c>
      <c r="F114" s="27">
        <v>417</v>
      </c>
      <c r="G114" s="27">
        <v>650</v>
      </c>
      <c r="H114" s="27">
        <v>0.39932800000000002</v>
      </c>
      <c r="I114" s="25"/>
      <c r="J114" s="25"/>
      <c r="K114" s="27">
        <v>0</v>
      </c>
      <c r="L114" s="27">
        <v>66.260000000000005</v>
      </c>
      <c r="M114" s="27">
        <v>10.78</v>
      </c>
      <c r="N114" s="25"/>
    </row>
    <row r="115" spans="1:14" x14ac:dyDescent="0.3">
      <c r="A115" s="24" t="s">
        <v>164</v>
      </c>
      <c r="B115" s="24" t="s">
        <v>407</v>
      </c>
      <c r="C115" s="24" t="s">
        <v>56</v>
      </c>
      <c r="D115" s="24">
        <v>1998</v>
      </c>
      <c r="E115" s="26">
        <v>387.33076299999999</v>
      </c>
      <c r="F115" s="26">
        <v>417</v>
      </c>
      <c r="G115" s="26">
        <v>650</v>
      </c>
      <c r="H115" s="26">
        <v>0.39932800000000002</v>
      </c>
      <c r="I115" s="24"/>
      <c r="J115" s="24"/>
      <c r="K115" s="26">
        <v>0</v>
      </c>
      <c r="L115" s="26">
        <v>66.260000000000005</v>
      </c>
      <c r="M115" s="26">
        <v>10.78</v>
      </c>
      <c r="N115" s="24"/>
    </row>
    <row r="116" spans="1:14" x14ac:dyDescent="0.3">
      <c r="A116" s="25" t="s">
        <v>164</v>
      </c>
      <c r="B116" s="25" t="s">
        <v>407</v>
      </c>
      <c r="C116" s="25" t="s">
        <v>56</v>
      </c>
      <c r="D116" s="25">
        <v>1999</v>
      </c>
      <c r="E116" s="27">
        <v>347.74523900000003</v>
      </c>
      <c r="F116" s="27">
        <v>417</v>
      </c>
      <c r="G116" s="27">
        <v>650</v>
      </c>
      <c r="H116" s="27">
        <v>0.39932800000000002</v>
      </c>
      <c r="I116" s="25"/>
      <c r="J116" s="25"/>
      <c r="K116" s="27">
        <v>0</v>
      </c>
      <c r="L116" s="27">
        <v>66.260000000000005</v>
      </c>
      <c r="M116" s="27">
        <v>10.78</v>
      </c>
      <c r="N116" s="25"/>
    </row>
    <row r="117" spans="1:14" x14ac:dyDescent="0.3">
      <c r="A117" s="24" t="s">
        <v>164</v>
      </c>
      <c r="B117" s="24" t="s">
        <v>407</v>
      </c>
      <c r="C117" s="24" t="s">
        <v>56</v>
      </c>
      <c r="D117" s="24">
        <v>2000</v>
      </c>
      <c r="E117" s="26">
        <v>278.03092800000002</v>
      </c>
      <c r="F117" s="26">
        <v>417</v>
      </c>
      <c r="G117" s="26">
        <v>650</v>
      </c>
      <c r="H117" s="26">
        <v>0.39932800000000002</v>
      </c>
      <c r="I117" s="24"/>
      <c r="J117" s="24"/>
      <c r="K117" s="26">
        <v>0</v>
      </c>
      <c r="L117" s="26">
        <v>66.260000000000005</v>
      </c>
      <c r="M117" s="26">
        <v>10.78</v>
      </c>
      <c r="N117" s="24"/>
    </row>
    <row r="118" spans="1:14" x14ac:dyDescent="0.3">
      <c r="A118" s="25" t="s">
        <v>164</v>
      </c>
      <c r="B118" s="25" t="s">
        <v>407</v>
      </c>
      <c r="C118" s="25" t="s">
        <v>56</v>
      </c>
      <c r="D118" s="25">
        <v>2001</v>
      </c>
      <c r="E118" s="27">
        <v>406.01117599999998</v>
      </c>
      <c r="F118" s="27">
        <v>417</v>
      </c>
      <c r="G118" s="27">
        <v>650</v>
      </c>
      <c r="H118" s="27">
        <v>0.39932800000000002</v>
      </c>
      <c r="I118" s="25"/>
      <c r="J118" s="25"/>
      <c r="K118" s="27">
        <v>0</v>
      </c>
      <c r="L118" s="27">
        <v>66.260000000000005</v>
      </c>
      <c r="M118" s="27">
        <v>10.78</v>
      </c>
      <c r="N118" s="25"/>
    </row>
    <row r="119" spans="1:14" x14ac:dyDescent="0.3">
      <c r="A119" s="24" t="s">
        <v>164</v>
      </c>
      <c r="B119" s="24" t="s">
        <v>407</v>
      </c>
      <c r="C119" s="24" t="s">
        <v>56</v>
      </c>
      <c r="D119" s="24">
        <v>2002</v>
      </c>
      <c r="E119" s="26">
        <v>356.33328499999999</v>
      </c>
      <c r="F119" s="26">
        <v>417</v>
      </c>
      <c r="G119" s="26">
        <v>650</v>
      </c>
      <c r="H119" s="26">
        <v>0.39932800000000002</v>
      </c>
      <c r="I119" s="24"/>
      <c r="J119" s="24"/>
      <c r="K119" s="26">
        <v>0</v>
      </c>
      <c r="L119" s="26">
        <v>66.260000000000005</v>
      </c>
      <c r="M119" s="26">
        <v>10.78</v>
      </c>
      <c r="N119" s="24"/>
    </row>
    <row r="120" spans="1:14" x14ac:dyDescent="0.3">
      <c r="A120" s="25" t="s">
        <v>164</v>
      </c>
      <c r="B120" s="25" t="s">
        <v>407</v>
      </c>
      <c r="C120" s="25" t="s">
        <v>56</v>
      </c>
      <c r="D120" s="25">
        <v>2003</v>
      </c>
      <c r="E120" s="27">
        <v>300.92767500000002</v>
      </c>
      <c r="F120" s="27">
        <v>417</v>
      </c>
      <c r="G120" s="27">
        <v>650</v>
      </c>
      <c r="H120" s="27">
        <v>0.39932800000000002</v>
      </c>
      <c r="I120" s="25"/>
      <c r="J120" s="25"/>
      <c r="K120" s="27">
        <v>0</v>
      </c>
      <c r="L120" s="27">
        <v>66.260000000000005</v>
      </c>
      <c r="M120" s="27">
        <v>10.78</v>
      </c>
      <c r="N120" s="25"/>
    </row>
    <row r="121" spans="1:14" x14ac:dyDescent="0.3">
      <c r="A121" s="24" t="s">
        <v>164</v>
      </c>
      <c r="B121" s="24" t="s">
        <v>407</v>
      </c>
      <c r="C121" s="24" t="s">
        <v>56</v>
      </c>
      <c r="D121" s="24">
        <v>2004</v>
      </c>
      <c r="E121" s="26">
        <v>215.83115699999999</v>
      </c>
      <c r="F121" s="26">
        <v>417</v>
      </c>
      <c r="G121" s="26">
        <v>650</v>
      </c>
      <c r="H121" s="26">
        <v>0.39932800000000002</v>
      </c>
      <c r="I121" s="24"/>
      <c r="J121" s="24"/>
      <c r="K121" s="26">
        <v>0</v>
      </c>
      <c r="L121" s="26">
        <v>66.260000000000005</v>
      </c>
      <c r="M121" s="26">
        <v>10.78</v>
      </c>
      <c r="N121" s="24"/>
    </row>
    <row r="122" spans="1:14" x14ac:dyDescent="0.3">
      <c r="A122" s="25" t="s">
        <v>164</v>
      </c>
      <c r="B122" s="25" t="s">
        <v>407</v>
      </c>
      <c r="C122" s="25" t="s">
        <v>56</v>
      </c>
      <c r="D122" s="25">
        <v>2005</v>
      </c>
      <c r="E122" s="27">
        <v>215.83115699999999</v>
      </c>
      <c r="F122" s="27">
        <v>417</v>
      </c>
      <c r="G122" s="27">
        <v>650</v>
      </c>
      <c r="H122" s="27">
        <v>0.39932800000000002</v>
      </c>
      <c r="I122" s="25"/>
      <c r="J122" s="25"/>
      <c r="K122" s="27">
        <v>0</v>
      </c>
      <c r="L122" s="27">
        <v>66.260000000000005</v>
      </c>
      <c r="M122" s="27">
        <v>10.78</v>
      </c>
      <c r="N122" s="25"/>
    </row>
    <row r="123" spans="1:14" x14ac:dyDescent="0.3">
      <c r="A123" s="24" t="s">
        <v>164</v>
      </c>
      <c r="B123" s="24" t="s">
        <v>407</v>
      </c>
      <c r="C123" s="24" t="s">
        <v>56</v>
      </c>
      <c r="D123" s="24">
        <v>2006</v>
      </c>
      <c r="E123" s="26">
        <v>215.83115699999999</v>
      </c>
      <c r="F123" s="26">
        <v>417</v>
      </c>
      <c r="G123" s="26">
        <v>650</v>
      </c>
      <c r="H123" s="26">
        <v>0.39932800000000002</v>
      </c>
      <c r="I123" s="24"/>
      <c r="J123" s="24"/>
      <c r="K123" s="26">
        <v>0</v>
      </c>
      <c r="L123" s="26">
        <v>66.260000000000005</v>
      </c>
      <c r="M123" s="26">
        <v>10.78</v>
      </c>
      <c r="N123" s="24"/>
    </row>
    <row r="124" spans="1:14" x14ac:dyDescent="0.3">
      <c r="A124" s="25" t="s">
        <v>164</v>
      </c>
      <c r="B124" s="25" t="s">
        <v>407</v>
      </c>
      <c r="C124" s="25" t="s">
        <v>56</v>
      </c>
      <c r="D124" s="25">
        <v>2007</v>
      </c>
      <c r="E124" s="27">
        <v>215.83115699999999</v>
      </c>
      <c r="F124" s="27">
        <v>417</v>
      </c>
      <c r="G124" s="27">
        <v>650</v>
      </c>
      <c r="H124" s="27">
        <v>0.39932800000000002</v>
      </c>
      <c r="I124" s="25"/>
      <c r="J124" s="25"/>
      <c r="K124" s="27">
        <v>0</v>
      </c>
      <c r="L124" s="27">
        <v>66.260000000000005</v>
      </c>
      <c r="M124" s="27">
        <v>10.78</v>
      </c>
      <c r="N124" s="25"/>
    </row>
    <row r="125" spans="1:14" x14ac:dyDescent="0.3">
      <c r="A125" s="24" t="s">
        <v>164</v>
      </c>
      <c r="B125" s="24" t="s">
        <v>407</v>
      </c>
      <c r="C125" s="24" t="s">
        <v>56</v>
      </c>
      <c r="D125" s="24">
        <v>2008</v>
      </c>
      <c r="E125" s="26">
        <v>162.43837099999999</v>
      </c>
      <c r="F125" s="26">
        <v>417</v>
      </c>
      <c r="G125" s="26">
        <v>650</v>
      </c>
      <c r="H125" s="26">
        <v>0.39932800000000002</v>
      </c>
      <c r="I125" s="24"/>
      <c r="J125" s="24"/>
      <c r="K125" s="26">
        <v>0</v>
      </c>
      <c r="L125" s="26">
        <v>66.260000000000005</v>
      </c>
      <c r="M125" s="26">
        <v>10.78</v>
      </c>
      <c r="N125" s="24"/>
    </row>
    <row r="126" spans="1:14" x14ac:dyDescent="0.3">
      <c r="A126" s="25" t="s">
        <v>164</v>
      </c>
      <c r="B126" s="25" t="s">
        <v>407</v>
      </c>
      <c r="C126" s="25" t="s">
        <v>56</v>
      </c>
      <c r="D126" s="25">
        <v>2009</v>
      </c>
      <c r="E126" s="27">
        <v>162.43837099999999</v>
      </c>
      <c r="F126" s="27">
        <v>417</v>
      </c>
      <c r="G126" s="27">
        <v>650</v>
      </c>
      <c r="H126" s="27">
        <v>0.39932800000000002</v>
      </c>
      <c r="I126" s="25"/>
      <c r="J126" s="25"/>
      <c r="K126" s="27">
        <v>0</v>
      </c>
      <c r="L126" s="27">
        <v>66.260000000000005</v>
      </c>
      <c r="M126" s="27">
        <v>10.78</v>
      </c>
      <c r="N126" s="25"/>
    </row>
    <row r="127" spans="1:14" x14ac:dyDescent="0.3">
      <c r="A127" s="24" t="s">
        <v>164</v>
      </c>
      <c r="B127" s="24" t="s">
        <v>407</v>
      </c>
      <c r="C127" s="24" t="s">
        <v>56</v>
      </c>
      <c r="D127" s="24">
        <v>2010</v>
      </c>
      <c r="E127" s="26">
        <v>162.43837099999999</v>
      </c>
      <c r="F127" s="26">
        <v>417</v>
      </c>
      <c r="G127" s="26">
        <v>650</v>
      </c>
      <c r="H127" s="26">
        <v>0.39932800000000002</v>
      </c>
      <c r="I127" s="24"/>
      <c r="J127" s="24"/>
      <c r="K127" s="26">
        <v>0</v>
      </c>
      <c r="L127" s="26">
        <v>66.260000000000005</v>
      </c>
      <c r="M127" s="26">
        <v>10.78</v>
      </c>
      <c r="N127" s="24"/>
    </row>
    <row r="128" spans="1:14" x14ac:dyDescent="0.3">
      <c r="A128" s="25" t="s">
        <v>164</v>
      </c>
      <c r="B128" s="25" t="s">
        <v>407</v>
      </c>
      <c r="C128" s="25" t="s">
        <v>56</v>
      </c>
      <c r="D128" s="25">
        <v>2011</v>
      </c>
      <c r="E128" s="27">
        <v>114.328363</v>
      </c>
      <c r="F128" s="27">
        <v>417</v>
      </c>
      <c r="G128" s="27">
        <v>650</v>
      </c>
      <c r="H128" s="27">
        <v>0.39932800000000002</v>
      </c>
      <c r="I128" s="25"/>
      <c r="J128" s="25"/>
      <c r="K128" s="27">
        <v>0</v>
      </c>
      <c r="L128" s="27">
        <v>66.260000000000005</v>
      </c>
      <c r="M128" s="27">
        <v>10.78</v>
      </c>
      <c r="N128" s="25"/>
    </row>
    <row r="129" spans="1:14" x14ac:dyDescent="0.3">
      <c r="A129" s="24" t="s">
        <v>164</v>
      </c>
      <c r="B129" s="24" t="s">
        <v>407</v>
      </c>
      <c r="C129" s="24" t="s">
        <v>56</v>
      </c>
      <c r="D129" s="24">
        <v>2012</v>
      </c>
      <c r="E129" s="26">
        <v>114.328363</v>
      </c>
      <c r="F129" s="26">
        <v>417</v>
      </c>
      <c r="G129" s="26">
        <v>650</v>
      </c>
      <c r="H129" s="26">
        <v>0.39932800000000002</v>
      </c>
      <c r="I129" s="24"/>
      <c r="J129" s="24"/>
      <c r="K129" s="26">
        <v>0</v>
      </c>
      <c r="L129" s="26">
        <v>66.260000000000005</v>
      </c>
      <c r="M129" s="26">
        <v>10.78</v>
      </c>
      <c r="N129" s="24"/>
    </row>
    <row r="130" spans="1:14" x14ac:dyDescent="0.3">
      <c r="A130" s="25" t="s">
        <v>164</v>
      </c>
      <c r="B130" s="25" t="s">
        <v>407</v>
      </c>
      <c r="C130" s="25" t="s">
        <v>56</v>
      </c>
      <c r="D130" s="25">
        <v>2013</v>
      </c>
      <c r="E130" s="27">
        <v>110.98072000000001</v>
      </c>
      <c r="F130" s="27">
        <v>417</v>
      </c>
      <c r="G130" s="27">
        <v>650</v>
      </c>
      <c r="H130" s="27">
        <v>0.39932800000000002</v>
      </c>
      <c r="I130" s="25"/>
      <c r="J130" s="25"/>
      <c r="K130" s="27">
        <v>0</v>
      </c>
      <c r="L130" s="27">
        <v>66.260000000000005</v>
      </c>
      <c r="M130" s="27">
        <v>10.78</v>
      </c>
      <c r="N130" s="25"/>
    </row>
    <row r="131" spans="1:14" x14ac:dyDescent="0.3">
      <c r="A131" s="24" t="s">
        <v>164</v>
      </c>
      <c r="B131" s="24" t="s">
        <v>407</v>
      </c>
      <c r="C131" s="24" t="s">
        <v>56</v>
      </c>
      <c r="D131" s="24">
        <v>2014</v>
      </c>
      <c r="E131" s="26">
        <v>95.655557000000002</v>
      </c>
      <c r="F131" s="26">
        <v>417</v>
      </c>
      <c r="G131" s="26">
        <v>650</v>
      </c>
      <c r="H131" s="26">
        <v>0.39932800000000002</v>
      </c>
      <c r="I131" s="24"/>
      <c r="J131" s="24"/>
      <c r="K131" s="26">
        <v>0</v>
      </c>
      <c r="L131" s="26">
        <v>66.260000000000005</v>
      </c>
      <c r="M131" s="26">
        <v>10.78</v>
      </c>
      <c r="N131" s="24"/>
    </row>
    <row r="132" spans="1:14" x14ac:dyDescent="0.3">
      <c r="A132" s="25" t="s">
        <v>164</v>
      </c>
      <c r="B132" s="25" t="s">
        <v>407</v>
      </c>
      <c r="C132" s="25" t="s">
        <v>56</v>
      </c>
      <c r="D132" s="25">
        <v>2015</v>
      </c>
      <c r="E132" s="27">
        <v>136.880358</v>
      </c>
      <c r="F132" s="27">
        <v>417</v>
      </c>
      <c r="G132" s="27">
        <v>650</v>
      </c>
      <c r="H132" s="27">
        <v>0.39932800000000002</v>
      </c>
      <c r="I132" s="25"/>
      <c r="J132" s="25"/>
      <c r="K132" s="27">
        <v>0</v>
      </c>
      <c r="L132" s="27">
        <v>66.260000000000005</v>
      </c>
      <c r="M132" s="27">
        <v>10.78</v>
      </c>
      <c r="N132" s="25"/>
    </row>
    <row r="133" spans="1:14" x14ac:dyDescent="0.3">
      <c r="A133" s="24" t="s">
        <v>164</v>
      </c>
      <c r="B133" s="24" t="s">
        <v>407</v>
      </c>
      <c r="C133" s="24" t="s">
        <v>56</v>
      </c>
      <c r="D133" s="24">
        <v>2016</v>
      </c>
      <c r="E133" s="26">
        <v>147.35137700000001</v>
      </c>
      <c r="F133" s="26">
        <v>417</v>
      </c>
      <c r="G133" s="26">
        <v>650</v>
      </c>
      <c r="H133" s="26">
        <v>0.39932800000000002</v>
      </c>
      <c r="I133" s="24"/>
      <c r="J133" s="24"/>
      <c r="K133" s="26">
        <v>0</v>
      </c>
      <c r="L133" s="26">
        <v>66.260000000000005</v>
      </c>
      <c r="M133" s="26">
        <v>10.78</v>
      </c>
      <c r="N133" s="24"/>
    </row>
    <row r="134" spans="1:14" x14ac:dyDescent="0.3">
      <c r="A134" s="25" t="s">
        <v>164</v>
      </c>
      <c r="B134" s="25" t="s">
        <v>407</v>
      </c>
      <c r="C134" s="25" t="s">
        <v>56</v>
      </c>
      <c r="D134" s="25">
        <v>2017</v>
      </c>
      <c r="E134" s="27">
        <v>157.450605</v>
      </c>
      <c r="F134" s="27">
        <v>417</v>
      </c>
      <c r="G134" s="27">
        <v>650</v>
      </c>
      <c r="H134" s="27">
        <v>0.39932800000000002</v>
      </c>
      <c r="I134" s="25"/>
      <c r="J134" s="25"/>
      <c r="K134" s="27">
        <v>0</v>
      </c>
      <c r="L134" s="27">
        <v>66.260000000000005</v>
      </c>
      <c r="M134" s="27">
        <v>10.78</v>
      </c>
      <c r="N134" s="25"/>
    </row>
    <row r="135" spans="1:14" x14ac:dyDescent="0.3">
      <c r="A135" s="24" t="s">
        <v>164</v>
      </c>
      <c r="B135" s="24" t="s">
        <v>407</v>
      </c>
      <c r="C135" s="24" t="s">
        <v>56</v>
      </c>
      <c r="D135" s="24">
        <v>2018</v>
      </c>
      <c r="E135" s="26">
        <v>112.667213</v>
      </c>
      <c r="F135" s="26">
        <v>417</v>
      </c>
      <c r="G135" s="26">
        <v>650</v>
      </c>
      <c r="H135" s="26">
        <v>0.39932800000000002</v>
      </c>
      <c r="I135" s="24"/>
      <c r="J135" s="24"/>
      <c r="K135" s="26">
        <v>0</v>
      </c>
      <c r="L135" s="26">
        <v>66.260000000000005</v>
      </c>
      <c r="M135" s="26">
        <v>10.78</v>
      </c>
      <c r="N135" s="24"/>
    </row>
    <row r="136" spans="1:14" x14ac:dyDescent="0.3">
      <c r="A136" s="25" t="s">
        <v>164</v>
      </c>
      <c r="B136" s="25" t="s">
        <v>407</v>
      </c>
      <c r="C136" s="25" t="s">
        <v>56</v>
      </c>
      <c r="D136" s="25">
        <v>2019</v>
      </c>
      <c r="E136" s="27">
        <v>124.02852</v>
      </c>
      <c r="F136" s="27">
        <v>417</v>
      </c>
      <c r="G136" s="27">
        <v>650</v>
      </c>
      <c r="H136" s="27">
        <v>0.39932800000000002</v>
      </c>
      <c r="I136" s="25"/>
      <c r="J136" s="25"/>
      <c r="K136" s="27">
        <v>0</v>
      </c>
      <c r="L136" s="27">
        <v>66.260000000000005</v>
      </c>
      <c r="M136" s="27">
        <v>10.78</v>
      </c>
      <c r="N136" s="25"/>
    </row>
    <row r="137" spans="1:14" x14ac:dyDescent="0.3">
      <c r="A137" s="24" t="s">
        <v>164</v>
      </c>
      <c r="B137" s="24" t="s">
        <v>407</v>
      </c>
      <c r="C137" s="24" t="s">
        <v>56</v>
      </c>
      <c r="D137" s="24">
        <v>2020</v>
      </c>
      <c r="E137" s="26">
        <v>153.50103200000001</v>
      </c>
      <c r="F137" s="26">
        <v>417</v>
      </c>
      <c r="G137" s="26">
        <v>650</v>
      </c>
      <c r="H137" s="26">
        <v>0.39932800000000002</v>
      </c>
      <c r="I137" s="24"/>
      <c r="J137" s="24"/>
      <c r="K137" s="26">
        <v>0</v>
      </c>
      <c r="L137" s="26">
        <v>66.260000000000005</v>
      </c>
      <c r="M137" s="26">
        <v>10.78</v>
      </c>
      <c r="N137" s="24"/>
    </row>
    <row r="138" spans="1:14" x14ac:dyDescent="0.3">
      <c r="A138" s="25" t="s">
        <v>164</v>
      </c>
      <c r="B138" s="25" t="s">
        <v>407</v>
      </c>
      <c r="C138" s="25" t="s">
        <v>56</v>
      </c>
      <c r="D138" s="25">
        <v>2021</v>
      </c>
      <c r="E138" s="27">
        <v>197.19493499999999</v>
      </c>
      <c r="F138" s="27">
        <v>417</v>
      </c>
      <c r="G138" s="27">
        <v>650</v>
      </c>
      <c r="H138" s="27">
        <v>0.39932800000000002</v>
      </c>
      <c r="I138" s="25"/>
      <c r="J138" s="25"/>
      <c r="K138" s="27">
        <v>0</v>
      </c>
      <c r="L138" s="27">
        <v>66.260000000000005</v>
      </c>
      <c r="M138" s="27">
        <v>10.78</v>
      </c>
      <c r="N138" s="25"/>
    </row>
    <row r="139" spans="1:14" x14ac:dyDescent="0.3">
      <c r="A139" s="24" t="s">
        <v>164</v>
      </c>
      <c r="B139" s="24" t="s">
        <v>407</v>
      </c>
      <c r="C139" s="24" t="s">
        <v>56</v>
      </c>
      <c r="D139" s="24">
        <v>2022</v>
      </c>
      <c r="E139" s="26">
        <v>219.564213</v>
      </c>
      <c r="F139" s="26">
        <v>417</v>
      </c>
      <c r="G139" s="26">
        <v>650</v>
      </c>
      <c r="H139" s="26">
        <v>0.39932800000000002</v>
      </c>
      <c r="I139" s="24"/>
      <c r="J139" s="24"/>
      <c r="K139" s="26">
        <v>0</v>
      </c>
      <c r="L139" s="26">
        <v>66.260000000000005</v>
      </c>
      <c r="M139" s="26">
        <v>10.78</v>
      </c>
      <c r="N139" s="24"/>
    </row>
    <row r="140" spans="1:14" x14ac:dyDescent="0.3">
      <c r="A140" s="25" t="s">
        <v>164</v>
      </c>
      <c r="B140" s="25" t="s">
        <v>407</v>
      </c>
      <c r="C140" s="25" t="s">
        <v>56</v>
      </c>
      <c r="D140" s="25">
        <v>2023</v>
      </c>
      <c r="E140" s="27">
        <v>249.03335799999999</v>
      </c>
      <c r="F140" s="27">
        <v>417</v>
      </c>
      <c r="G140" s="27">
        <v>650</v>
      </c>
      <c r="H140" s="27">
        <v>0.39932800000000002</v>
      </c>
      <c r="I140" s="25"/>
      <c r="J140" s="25"/>
      <c r="K140" s="27">
        <v>0</v>
      </c>
      <c r="L140" s="27">
        <v>66.260000000000005</v>
      </c>
      <c r="M140" s="27">
        <v>10.78</v>
      </c>
      <c r="N140" s="25"/>
    </row>
    <row r="141" spans="1:14" x14ac:dyDescent="0.3">
      <c r="A141" s="24" t="s">
        <v>164</v>
      </c>
      <c r="B141" s="24" t="s">
        <v>407</v>
      </c>
      <c r="C141" s="24" t="s">
        <v>408</v>
      </c>
      <c r="D141" s="24">
        <v>1990</v>
      </c>
      <c r="E141" s="26">
        <v>18654.3</v>
      </c>
      <c r="F141" s="26">
        <v>199</v>
      </c>
      <c r="G141" s="26">
        <v>563.31262000000004</v>
      </c>
      <c r="H141" s="26">
        <v>0.90800000000000003</v>
      </c>
      <c r="I141" s="24"/>
      <c r="J141" s="24"/>
      <c r="K141" s="26">
        <v>0</v>
      </c>
      <c r="L141" s="26">
        <v>66.180000000000007</v>
      </c>
      <c r="M141" s="26">
        <v>11.49</v>
      </c>
      <c r="N141" s="24"/>
    </row>
    <row r="142" spans="1:14" x14ac:dyDescent="0.3">
      <c r="A142" s="25" t="s">
        <v>164</v>
      </c>
      <c r="B142" s="25" t="s">
        <v>407</v>
      </c>
      <c r="C142" s="24" t="s">
        <v>408</v>
      </c>
      <c r="D142" s="25">
        <v>1991</v>
      </c>
      <c r="E142" s="27">
        <v>18474.400000000001</v>
      </c>
      <c r="F142" s="27">
        <v>199</v>
      </c>
      <c r="G142" s="27">
        <v>563.95733600000005</v>
      </c>
      <c r="H142" s="27">
        <v>0.90792600000000001</v>
      </c>
      <c r="I142" s="25"/>
      <c r="J142" s="25"/>
      <c r="K142" s="27">
        <v>0</v>
      </c>
      <c r="L142" s="27">
        <v>66.180000000000007</v>
      </c>
      <c r="M142" s="27">
        <v>11.49</v>
      </c>
      <c r="N142" s="25"/>
    </row>
    <row r="143" spans="1:14" x14ac:dyDescent="0.3">
      <c r="A143" s="24" t="s">
        <v>164</v>
      </c>
      <c r="B143" s="24" t="s">
        <v>407</v>
      </c>
      <c r="C143" s="24" t="s">
        <v>408</v>
      </c>
      <c r="D143" s="24">
        <v>1992</v>
      </c>
      <c r="E143" s="26">
        <v>17649.8</v>
      </c>
      <c r="F143" s="26">
        <v>199</v>
      </c>
      <c r="G143" s="26">
        <v>560.95435099999997</v>
      </c>
      <c r="H143" s="26">
        <v>0.90792600000000001</v>
      </c>
      <c r="I143" s="24"/>
      <c r="J143" s="24"/>
      <c r="K143" s="26">
        <v>0</v>
      </c>
      <c r="L143" s="26">
        <v>66.180000000000007</v>
      </c>
      <c r="M143" s="26">
        <v>11.49</v>
      </c>
      <c r="N143" s="24"/>
    </row>
    <row r="144" spans="1:14" x14ac:dyDescent="0.3">
      <c r="A144" s="25" t="s">
        <v>164</v>
      </c>
      <c r="B144" s="25" t="s">
        <v>407</v>
      </c>
      <c r="C144" s="24" t="s">
        <v>408</v>
      </c>
      <c r="D144" s="25">
        <v>1993</v>
      </c>
      <c r="E144" s="27">
        <v>15614.9</v>
      </c>
      <c r="F144" s="27">
        <v>199</v>
      </c>
      <c r="G144" s="27">
        <v>560.01371800000004</v>
      </c>
      <c r="H144" s="27">
        <v>0.90792600000000001</v>
      </c>
      <c r="I144" s="25"/>
      <c r="J144" s="25"/>
      <c r="K144" s="27">
        <v>0</v>
      </c>
      <c r="L144" s="27">
        <v>66.180000000000007</v>
      </c>
      <c r="M144" s="27">
        <v>11.49</v>
      </c>
      <c r="N144" s="25"/>
    </row>
    <row r="145" spans="1:14" x14ac:dyDescent="0.3">
      <c r="A145" s="24" t="s">
        <v>164</v>
      </c>
      <c r="B145" s="24" t="s">
        <v>407</v>
      </c>
      <c r="C145" s="24" t="s">
        <v>408</v>
      </c>
      <c r="D145" s="24">
        <v>1994</v>
      </c>
      <c r="E145" s="26">
        <v>14769.3</v>
      </c>
      <c r="F145" s="26">
        <v>199</v>
      </c>
      <c r="G145" s="26">
        <v>564.68377599999997</v>
      </c>
      <c r="H145" s="26">
        <v>0.90792600000000001</v>
      </c>
      <c r="I145" s="24"/>
      <c r="J145" s="24"/>
      <c r="K145" s="26">
        <v>0</v>
      </c>
      <c r="L145" s="26">
        <v>66.180000000000007</v>
      </c>
      <c r="M145" s="26">
        <v>11.49</v>
      </c>
      <c r="N145" s="24"/>
    </row>
    <row r="146" spans="1:14" x14ac:dyDescent="0.3">
      <c r="A146" s="25" t="s">
        <v>164</v>
      </c>
      <c r="B146" s="25" t="s">
        <v>407</v>
      </c>
      <c r="C146" s="24" t="s">
        <v>408</v>
      </c>
      <c r="D146" s="25">
        <v>1995</v>
      </c>
      <c r="E146" s="27">
        <v>15036</v>
      </c>
      <c r="F146" s="27">
        <v>199</v>
      </c>
      <c r="G146" s="27">
        <v>565.881844</v>
      </c>
      <c r="H146" s="27">
        <v>0.90792600000000001</v>
      </c>
      <c r="I146" s="25"/>
      <c r="J146" s="25"/>
      <c r="K146" s="27">
        <v>0</v>
      </c>
      <c r="L146" s="27">
        <v>66.180000000000007</v>
      </c>
      <c r="M146" s="27">
        <v>11.49</v>
      </c>
      <c r="N146" s="25"/>
    </row>
    <row r="147" spans="1:14" x14ac:dyDescent="0.3">
      <c r="A147" s="24" t="s">
        <v>164</v>
      </c>
      <c r="B147" s="24" t="s">
        <v>407</v>
      </c>
      <c r="C147" s="24" t="s">
        <v>408</v>
      </c>
      <c r="D147" s="24">
        <v>1996</v>
      </c>
      <c r="E147" s="26">
        <v>13710.9</v>
      </c>
      <c r="F147" s="26">
        <v>199</v>
      </c>
      <c r="G147" s="26">
        <v>567.64113999999995</v>
      </c>
      <c r="H147" s="26">
        <v>0.90792600000000001</v>
      </c>
      <c r="I147" s="24"/>
      <c r="J147" s="24"/>
      <c r="K147" s="26">
        <v>0</v>
      </c>
      <c r="L147" s="26">
        <v>66.180000000000007</v>
      </c>
      <c r="M147" s="26">
        <v>11.49</v>
      </c>
      <c r="N147" s="24"/>
    </row>
    <row r="148" spans="1:14" x14ac:dyDescent="0.3">
      <c r="A148" s="25" t="s">
        <v>164</v>
      </c>
      <c r="B148" s="25" t="s">
        <v>407</v>
      </c>
      <c r="C148" s="24" t="s">
        <v>408</v>
      </c>
      <c r="D148" s="25">
        <v>1997</v>
      </c>
      <c r="E148" s="27">
        <v>14787.049627</v>
      </c>
      <c r="F148" s="27">
        <v>199</v>
      </c>
      <c r="G148" s="27">
        <v>563.63748699999996</v>
      </c>
      <c r="H148" s="27">
        <v>0.90792600000000001</v>
      </c>
      <c r="I148" s="25"/>
      <c r="J148" s="25"/>
      <c r="K148" s="27">
        <v>0</v>
      </c>
      <c r="L148" s="27">
        <v>66.180000000000007</v>
      </c>
      <c r="M148" s="27">
        <v>11.49</v>
      </c>
      <c r="N148" s="25"/>
    </row>
    <row r="149" spans="1:14" x14ac:dyDescent="0.3">
      <c r="A149" s="24" t="s">
        <v>164</v>
      </c>
      <c r="B149" s="24" t="s">
        <v>407</v>
      </c>
      <c r="C149" s="24" t="s">
        <v>408</v>
      </c>
      <c r="D149" s="24">
        <v>1998</v>
      </c>
      <c r="E149" s="26">
        <v>14556.885882</v>
      </c>
      <c r="F149" s="26">
        <v>199</v>
      </c>
      <c r="G149" s="26">
        <v>559.85070700000006</v>
      </c>
      <c r="H149" s="26">
        <v>0.90792600000000001</v>
      </c>
      <c r="I149" s="24"/>
      <c r="J149" s="24"/>
      <c r="K149" s="26">
        <v>0</v>
      </c>
      <c r="L149" s="26">
        <v>66.180000000000007</v>
      </c>
      <c r="M149" s="26">
        <v>11.49</v>
      </c>
      <c r="N149" s="24"/>
    </row>
    <row r="150" spans="1:14" x14ac:dyDescent="0.3">
      <c r="A150" s="25" t="s">
        <v>164</v>
      </c>
      <c r="B150" s="25" t="s">
        <v>407</v>
      </c>
      <c r="C150" s="24" t="s">
        <v>408</v>
      </c>
      <c r="D150" s="25">
        <v>1999</v>
      </c>
      <c r="E150" s="27">
        <v>13642.210034</v>
      </c>
      <c r="F150" s="27">
        <v>199</v>
      </c>
      <c r="G150" s="27">
        <v>563.63748699999996</v>
      </c>
      <c r="H150" s="27">
        <v>0.90792600000000001</v>
      </c>
      <c r="I150" s="25"/>
      <c r="J150" s="25"/>
      <c r="K150" s="27">
        <v>0</v>
      </c>
      <c r="L150" s="27">
        <v>66.180000000000007</v>
      </c>
      <c r="M150" s="27">
        <v>11.49</v>
      </c>
      <c r="N150" s="25"/>
    </row>
    <row r="151" spans="1:14" x14ac:dyDescent="0.3">
      <c r="A151" s="24" t="s">
        <v>164</v>
      </c>
      <c r="B151" s="24" t="s">
        <v>407</v>
      </c>
      <c r="C151" s="24" t="s">
        <v>408</v>
      </c>
      <c r="D151" s="24">
        <v>2000</v>
      </c>
      <c r="E151" s="26">
        <v>10907.284667</v>
      </c>
      <c r="F151" s="26">
        <v>199</v>
      </c>
      <c r="G151" s="26">
        <v>563.63748699999996</v>
      </c>
      <c r="H151" s="26">
        <v>0.90792600000000001</v>
      </c>
      <c r="I151" s="24"/>
      <c r="J151" s="24"/>
      <c r="K151" s="26">
        <v>0</v>
      </c>
      <c r="L151" s="26">
        <v>66.180000000000007</v>
      </c>
      <c r="M151" s="26">
        <v>11.49</v>
      </c>
      <c r="N151" s="24"/>
    </row>
    <row r="152" spans="1:14" x14ac:dyDescent="0.3">
      <c r="A152" s="25" t="s">
        <v>164</v>
      </c>
      <c r="B152" s="25" t="s">
        <v>407</v>
      </c>
      <c r="C152" s="24" t="s">
        <v>408</v>
      </c>
      <c r="D152" s="25">
        <v>2001</v>
      </c>
      <c r="E152" s="27">
        <v>15928.010286000001</v>
      </c>
      <c r="F152" s="27">
        <v>199</v>
      </c>
      <c r="G152" s="27">
        <v>563.63748699999996</v>
      </c>
      <c r="H152" s="27">
        <v>0.90792600000000001</v>
      </c>
      <c r="I152" s="25"/>
      <c r="J152" s="25"/>
      <c r="K152" s="27">
        <v>0</v>
      </c>
      <c r="L152" s="27">
        <v>66.180000000000007</v>
      </c>
      <c r="M152" s="27">
        <v>11.49</v>
      </c>
      <c r="N152" s="25"/>
    </row>
    <row r="153" spans="1:14" x14ac:dyDescent="0.3">
      <c r="A153" s="24" t="s">
        <v>164</v>
      </c>
      <c r="B153" s="24" t="s">
        <v>407</v>
      </c>
      <c r="C153" s="24" t="s">
        <v>408</v>
      </c>
      <c r="D153" s="24">
        <v>2002</v>
      </c>
      <c r="E153" s="26">
        <v>13979.123138000001</v>
      </c>
      <c r="F153" s="26">
        <v>199</v>
      </c>
      <c r="G153" s="26">
        <v>563.63748699999996</v>
      </c>
      <c r="H153" s="26">
        <v>0.90792600000000001</v>
      </c>
      <c r="I153" s="24"/>
      <c r="J153" s="24"/>
      <c r="K153" s="26">
        <v>0</v>
      </c>
      <c r="L153" s="26">
        <v>66.180000000000007</v>
      </c>
      <c r="M153" s="26">
        <v>11.49</v>
      </c>
      <c r="N153" s="24"/>
    </row>
    <row r="154" spans="1:14" x14ac:dyDescent="0.3">
      <c r="A154" s="25" t="s">
        <v>164</v>
      </c>
      <c r="B154" s="25" t="s">
        <v>407</v>
      </c>
      <c r="C154" s="24" t="s">
        <v>408</v>
      </c>
      <c r="D154" s="25">
        <v>2003</v>
      </c>
      <c r="E154" s="27">
        <v>11805.534899</v>
      </c>
      <c r="F154" s="27">
        <v>199</v>
      </c>
      <c r="G154" s="27">
        <v>563.63748699999996</v>
      </c>
      <c r="H154" s="27">
        <v>0.90792600000000001</v>
      </c>
      <c r="I154" s="25"/>
      <c r="J154" s="25"/>
      <c r="K154" s="27">
        <v>0</v>
      </c>
      <c r="L154" s="27">
        <v>66.180000000000007</v>
      </c>
      <c r="M154" s="27">
        <v>11.49</v>
      </c>
      <c r="N154" s="25"/>
    </row>
    <row r="155" spans="1:14" x14ac:dyDescent="0.3">
      <c r="A155" s="24" t="s">
        <v>164</v>
      </c>
      <c r="B155" s="24" t="s">
        <v>407</v>
      </c>
      <c r="C155" s="24" t="s">
        <v>408</v>
      </c>
      <c r="D155" s="24">
        <v>2004</v>
      </c>
      <c r="E155" s="26">
        <v>8467.158265</v>
      </c>
      <c r="F155" s="26">
        <v>199</v>
      </c>
      <c r="G155" s="26">
        <v>563.63748699999996</v>
      </c>
      <c r="H155" s="26">
        <v>0.90792600000000001</v>
      </c>
      <c r="I155" s="24"/>
      <c r="J155" s="24"/>
      <c r="K155" s="26">
        <v>0</v>
      </c>
      <c r="L155" s="26">
        <v>66.180000000000007</v>
      </c>
      <c r="M155" s="26">
        <v>11.49</v>
      </c>
      <c r="N155" s="24"/>
    </row>
    <row r="156" spans="1:14" x14ac:dyDescent="0.3">
      <c r="A156" s="25" t="s">
        <v>164</v>
      </c>
      <c r="B156" s="25" t="s">
        <v>407</v>
      </c>
      <c r="C156" s="24" t="s">
        <v>408</v>
      </c>
      <c r="D156" s="25">
        <v>2005</v>
      </c>
      <c r="E156" s="27">
        <v>8467.158265</v>
      </c>
      <c r="F156" s="27">
        <v>199</v>
      </c>
      <c r="G156" s="27">
        <v>563.63748699999996</v>
      </c>
      <c r="H156" s="27">
        <v>0.90792600000000001</v>
      </c>
      <c r="I156" s="25"/>
      <c r="J156" s="25"/>
      <c r="K156" s="27">
        <v>0</v>
      </c>
      <c r="L156" s="27">
        <v>66.180000000000007</v>
      </c>
      <c r="M156" s="27">
        <v>11.49</v>
      </c>
      <c r="N156" s="25"/>
    </row>
    <row r="157" spans="1:14" x14ac:dyDescent="0.3">
      <c r="A157" s="24" t="s">
        <v>164</v>
      </c>
      <c r="B157" s="24" t="s">
        <v>407</v>
      </c>
      <c r="C157" s="24" t="s">
        <v>408</v>
      </c>
      <c r="D157" s="24">
        <v>2006</v>
      </c>
      <c r="E157" s="26">
        <v>8467.158265</v>
      </c>
      <c r="F157" s="26">
        <v>199</v>
      </c>
      <c r="G157" s="26">
        <v>563.63748699999996</v>
      </c>
      <c r="H157" s="26">
        <v>0.90792600000000001</v>
      </c>
      <c r="I157" s="24"/>
      <c r="J157" s="24"/>
      <c r="K157" s="26">
        <v>0</v>
      </c>
      <c r="L157" s="26">
        <v>66.180000000000007</v>
      </c>
      <c r="M157" s="26">
        <v>11.49</v>
      </c>
      <c r="N157" s="24"/>
    </row>
    <row r="158" spans="1:14" x14ac:dyDescent="0.3">
      <c r="A158" s="25" t="s">
        <v>164</v>
      </c>
      <c r="B158" s="25" t="s">
        <v>407</v>
      </c>
      <c r="C158" s="24" t="s">
        <v>408</v>
      </c>
      <c r="D158" s="25">
        <v>2007</v>
      </c>
      <c r="E158" s="27">
        <v>8467.158265</v>
      </c>
      <c r="F158" s="27">
        <v>199</v>
      </c>
      <c r="G158" s="27">
        <v>563.63748699999996</v>
      </c>
      <c r="H158" s="27">
        <v>0.90792600000000001</v>
      </c>
      <c r="I158" s="25"/>
      <c r="J158" s="25"/>
      <c r="K158" s="27">
        <v>0</v>
      </c>
      <c r="L158" s="27">
        <v>66.180000000000007</v>
      </c>
      <c r="M158" s="27">
        <v>11.49</v>
      </c>
      <c r="N158" s="25"/>
    </row>
    <row r="159" spans="1:14" x14ac:dyDescent="0.3">
      <c r="A159" s="24" t="s">
        <v>164</v>
      </c>
      <c r="B159" s="24" t="s">
        <v>407</v>
      </c>
      <c r="C159" s="24" t="s">
        <v>408</v>
      </c>
      <c r="D159" s="24">
        <v>2008</v>
      </c>
      <c r="E159" s="26">
        <v>6372.5340340000002</v>
      </c>
      <c r="F159" s="26">
        <v>199</v>
      </c>
      <c r="G159" s="26">
        <v>563.63748699999996</v>
      </c>
      <c r="H159" s="26">
        <v>0.90792600000000001</v>
      </c>
      <c r="I159" s="24"/>
      <c r="J159" s="24"/>
      <c r="K159" s="26">
        <v>0</v>
      </c>
      <c r="L159" s="26">
        <v>66.180000000000007</v>
      </c>
      <c r="M159" s="26">
        <v>11.49</v>
      </c>
      <c r="N159" s="24"/>
    </row>
    <row r="160" spans="1:14" x14ac:dyDescent="0.3">
      <c r="A160" s="25" t="s">
        <v>164</v>
      </c>
      <c r="B160" s="25" t="s">
        <v>407</v>
      </c>
      <c r="C160" s="24" t="s">
        <v>408</v>
      </c>
      <c r="D160" s="25">
        <v>2009</v>
      </c>
      <c r="E160" s="27">
        <v>6372.5340340000002</v>
      </c>
      <c r="F160" s="27">
        <v>199</v>
      </c>
      <c r="G160" s="27">
        <v>563.63748699999996</v>
      </c>
      <c r="H160" s="27">
        <v>0.90792600000000001</v>
      </c>
      <c r="I160" s="25"/>
      <c r="J160" s="25"/>
      <c r="K160" s="27">
        <v>0</v>
      </c>
      <c r="L160" s="27">
        <v>66.180000000000007</v>
      </c>
      <c r="M160" s="27">
        <v>11.49</v>
      </c>
      <c r="N160" s="25"/>
    </row>
    <row r="161" spans="1:14" x14ac:dyDescent="0.3">
      <c r="A161" s="24" t="s">
        <v>164</v>
      </c>
      <c r="B161" s="24" t="s">
        <v>407</v>
      </c>
      <c r="C161" s="24" t="s">
        <v>408</v>
      </c>
      <c r="D161" s="24">
        <v>2010</v>
      </c>
      <c r="E161" s="26">
        <v>6372.5340340000002</v>
      </c>
      <c r="F161" s="26">
        <v>199</v>
      </c>
      <c r="G161" s="26">
        <v>563.63748699999996</v>
      </c>
      <c r="H161" s="26">
        <v>0.90792600000000001</v>
      </c>
      <c r="I161" s="24"/>
      <c r="J161" s="24"/>
      <c r="K161" s="26">
        <v>0</v>
      </c>
      <c r="L161" s="26">
        <v>66.180000000000007</v>
      </c>
      <c r="M161" s="26">
        <v>11.49</v>
      </c>
      <c r="N161" s="24"/>
    </row>
    <row r="162" spans="1:14" x14ac:dyDescent="0.3">
      <c r="A162" s="25" t="s">
        <v>164</v>
      </c>
      <c r="B162" s="25" t="s">
        <v>407</v>
      </c>
      <c r="C162" s="24" t="s">
        <v>408</v>
      </c>
      <c r="D162" s="25">
        <v>2011</v>
      </c>
      <c r="E162" s="27">
        <v>4485.1556929999997</v>
      </c>
      <c r="F162" s="27">
        <v>199</v>
      </c>
      <c r="G162" s="27">
        <v>563.63748699999996</v>
      </c>
      <c r="H162" s="27">
        <v>0.90792600000000001</v>
      </c>
      <c r="I162" s="25"/>
      <c r="J162" s="25"/>
      <c r="K162" s="27">
        <v>0</v>
      </c>
      <c r="L162" s="27">
        <v>66.180000000000007</v>
      </c>
      <c r="M162" s="27">
        <v>11.49</v>
      </c>
      <c r="N162" s="25"/>
    </row>
    <row r="163" spans="1:14" x14ac:dyDescent="0.3">
      <c r="A163" s="24" t="s">
        <v>164</v>
      </c>
      <c r="B163" s="24" t="s">
        <v>407</v>
      </c>
      <c r="C163" s="24" t="s">
        <v>408</v>
      </c>
      <c r="D163" s="24">
        <v>2012</v>
      </c>
      <c r="E163" s="26">
        <v>4485.1556929999997</v>
      </c>
      <c r="F163" s="26">
        <v>199</v>
      </c>
      <c r="G163" s="26">
        <v>563.63748699999996</v>
      </c>
      <c r="H163" s="26">
        <v>0.90792600000000001</v>
      </c>
      <c r="I163" s="24"/>
      <c r="J163" s="24"/>
      <c r="K163" s="26">
        <v>0</v>
      </c>
      <c r="L163" s="26">
        <v>66.180000000000007</v>
      </c>
      <c r="M163" s="26">
        <v>11.49</v>
      </c>
      <c r="N163" s="24"/>
    </row>
    <row r="164" spans="1:14" x14ac:dyDescent="0.3">
      <c r="A164" s="25" t="s">
        <v>164</v>
      </c>
      <c r="B164" s="25" t="s">
        <v>407</v>
      </c>
      <c r="C164" s="24" t="s">
        <v>408</v>
      </c>
      <c r="D164" s="25">
        <v>2013</v>
      </c>
      <c r="E164" s="27">
        <v>4353.8260790000004</v>
      </c>
      <c r="F164" s="27">
        <v>199</v>
      </c>
      <c r="G164" s="27">
        <v>563.63748699999996</v>
      </c>
      <c r="H164" s="27">
        <v>0.90792600000000001</v>
      </c>
      <c r="I164" s="25"/>
      <c r="J164" s="25"/>
      <c r="K164" s="27">
        <v>0</v>
      </c>
      <c r="L164" s="27">
        <v>66.180000000000007</v>
      </c>
      <c r="M164" s="27">
        <v>11.49</v>
      </c>
      <c r="N164" s="25"/>
    </row>
    <row r="165" spans="1:14" x14ac:dyDescent="0.3">
      <c r="A165" s="24" t="s">
        <v>164</v>
      </c>
      <c r="B165" s="24" t="s">
        <v>407</v>
      </c>
      <c r="C165" s="24" t="s">
        <v>408</v>
      </c>
      <c r="D165" s="24">
        <v>2014</v>
      </c>
      <c r="E165" s="26">
        <v>3056.066292</v>
      </c>
      <c r="F165" s="26">
        <v>199</v>
      </c>
      <c r="G165" s="26">
        <v>563.63752499999998</v>
      </c>
      <c r="H165" s="26">
        <v>0.90792600000000001</v>
      </c>
      <c r="I165" s="24"/>
      <c r="J165" s="24"/>
      <c r="K165" s="26">
        <v>0</v>
      </c>
      <c r="L165" s="26">
        <v>66.180000000000007</v>
      </c>
      <c r="M165" s="26">
        <v>11.49</v>
      </c>
      <c r="N165" s="24"/>
    </row>
    <row r="166" spans="1:14" x14ac:dyDescent="0.3">
      <c r="A166" s="25" t="s">
        <v>164</v>
      </c>
      <c r="B166" s="25" t="s">
        <v>407</v>
      </c>
      <c r="C166" s="24" t="s">
        <v>408</v>
      </c>
      <c r="D166" s="25">
        <v>2015</v>
      </c>
      <c r="E166" s="27">
        <v>5369.8811130000004</v>
      </c>
      <c r="F166" s="27">
        <v>199</v>
      </c>
      <c r="G166" s="27">
        <v>563.63748699999996</v>
      </c>
      <c r="H166" s="27">
        <v>0.90792600000000001</v>
      </c>
      <c r="I166" s="25"/>
      <c r="J166" s="25"/>
      <c r="K166" s="27">
        <v>0</v>
      </c>
      <c r="L166" s="27">
        <v>66.180000000000007</v>
      </c>
      <c r="M166" s="27">
        <v>11.49</v>
      </c>
      <c r="N166" s="25"/>
    </row>
    <row r="167" spans="1:14" x14ac:dyDescent="0.3">
      <c r="A167" s="24" t="s">
        <v>164</v>
      </c>
      <c r="B167" s="24" t="s">
        <v>407</v>
      </c>
      <c r="C167" s="24" t="s">
        <v>408</v>
      </c>
      <c r="D167" s="24">
        <v>2016</v>
      </c>
      <c r="E167" s="26">
        <v>5780.6641559999998</v>
      </c>
      <c r="F167" s="26">
        <v>199</v>
      </c>
      <c r="G167" s="26">
        <v>563.63748699999996</v>
      </c>
      <c r="H167" s="26">
        <v>0.90792600000000001</v>
      </c>
      <c r="I167" s="24"/>
      <c r="J167" s="24"/>
      <c r="K167" s="26">
        <v>0</v>
      </c>
      <c r="L167" s="26">
        <v>66.180000000000007</v>
      </c>
      <c r="M167" s="26">
        <v>11.49</v>
      </c>
      <c r="N167" s="24"/>
    </row>
    <row r="168" spans="1:14" x14ac:dyDescent="0.3">
      <c r="A168" s="25" t="s">
        <v>164</v>
      </c>
      <c r="B168" s="25" t="s">
        <v>407</v>
      </c>
      <c r="C168" s="24" t="s">
        <v>408</v>
      </c>
      <c r="D168" s="25">
        <v>2017</v>
      </c>
      <c r="E168" s="27">
        <v>6176.8616169999996</v>
      </c>
      <c r="F168" s="27">
        <v>199</v>
      </c>
      <c r="G168" s="27">
        <v>563.63748699999996</v>
      </c>
      <c r="H168" s="27">
        <v>0.90792600000000001</v>
      </c>
      <c r="I168" s="25"/>
      <c r="J168" s="25"/>
      <c r="K168" s="27">
        <v>0</v>
      </c>
      <c r="L168" s="27">
        <v>66.180000000000007</v>
      </c>
      <c r="M168" s="27">
        <v>11.49</v>
      </c>
      <c r="N168" s="25"/>
    </row>
    <row r="169" spans="1:14" x14ac:dyDescent="0.3">
      <c r="A169" s="24" t="s">
        <v>164</v>
      </c>
      <c r="B169" s="24" t="s">
        <v>407</v>
      </c>
      <c r="C169" s="24" t="s">
        <v>408</v>
      </c>
      <c r="D169" s="24">
        <v>2018</v>
      </c>
      <c r="E169" s="26">
        <v>3721.0466150000002</v>
      </c>
      <c r="F169" s="26">
        <v>199</v>
      </c>
      <c r="G169" s="26">
        <v>563.63748699999996</v>
      </c>
      <c r="H169" s="26">
        <v>0.90792600000000001</v>
      </c>
      <c r="I169" s="24"/>
      <c r="J169" s="24"/>
      <c r="K169" s="26">
        <v>0</v>
      </c>
      <c r="L169" s="26">
        <v>66.180000000000007</v>
      </c>
      <c r="M169" s="26">
        <v>11.49</v>
      </c>
      <c r="N169" s="24"/>
    </row>
    <row r="170" spans="1:14" x14ac:dyDescent="0.3">
      <c r="A170" s="25" t="s">
        <v>164</v>
      </c>
      <c r="B170" s="25" t="s">
        <v>407</v>
      </c>
      <c r="C170" s="24" t="s">
        <v>408</v>
      </c>
      <c r="D170" s="25">
        <v>2019</v>
      </c>
      <c r="E170" s="27">
        <v>4049.7382379999999</v>
      </c>
      <c r="F170" s="27">
        <v>199</v>
      </c>
      <c r="G170" s="27">
        <v>563.63748699999996</v>
      </c>
      <c r="H170" s="27">
        <v>0.90792600000000001</v>
      </c>
      <c r="I170" s="25"/>
      <c r="J170" s="25"/>
      <c r="K170" s="27">
        <v>0</v>
      </c>
      <c r="L170" s="27">
        <v>66.180000000000007</v>
      </c>
      <c r="M170" s="27">
        <v>11.49</v>
      </c>
      <c r="N170" s="25"/>
    </row>
    <row r="171" spans="1:14" x14ac:dyDescent="0.3">
      <c r="A171" s="24" t="s">
        <v>164</v>
      </c>
      <c r="B171" s="24" t="s">
        <v>407</v>
      </c>
      <c r="C171" s="24" t="s">
        <v>408</v>
      </c>
      <c r="D171" s="24">
        <v>2020</v>
      </c>
      <c r="E171" s="26">
        <v>6021.9180040000001</v>
      </c>
      <c r="F171" s="26">
        <v>199</v>
      </c>
      <c r="G171" s="26">
        <v>563.63748699999996</v>
      </c>
      <c r="H171" s="26">
        <v>0.90792600000000001</v>
      </c>
      <c r="I171" s="24"/>
      <c r="J171" s="24"/>
      <c r="K171" s="26">
        <v>0</v>
      </c>
      <c r="L171" s="26">
        <v>66.180000000000007</v>
      </c>
      <c r="M171" s="26">
        <v>11.49</v>
      </c>
      <c r="N171" s="24"/>
    </row>
    <row r="172" spans="1:14" x14ac:dyDescent="0.3">
      <c r="A172" s="25" t="s">
        <v>164</v>
      </c>
      <c r="B172" s="25" t="s">
        <v>407</v>
      </c>
      <c r="C172" s="24" t="s">
        <v>408</v>
      </c>
      <c r="D172" s="25">
        <v>2021</v>
      </c>
      <c r="E172" s="27">
        <v>7736.0504970000002</v>
      </c>
      <c r="F172" s="27">
        <v>199</v>
      </c>
      <c r="G172" s="27">
        <v>563.63748699999996</v>
      </c>
      <c r="H172" s="27">
        <v>0.90792600000000001</v>
      </c>
      <c r="I172" s="25"/>
      <c r="J172" s="25"/>
      <c r="K172" s="27">
        <v>0</v>
      </c>
      <c r="L172" s="27">
        <v>66.180000000000007</v>
      </c>
      <c r="M172" s="27">
        <v>11.49</v>
      </c>
      <c r="N172" s="25"/>
    </row>
    <row r="173" spans="1:14" x14ac:dyDescent="0.3">
      <c r="A173" s="24" t="s">
        <v>164</v>
      </c>
      <c r="B173" s="24" t="s">
        <v>407</v>
      </c>
      <c r="C173" s="24" t="s">
        <v>408</v>
      </c>
      <c r="D173" s="24">
        <v>2022</v>
      </c>
      <c r="E173" s="26">
        <v>8613.6078049999996</v>
      </c>
      <c r="F173" s="26">
        <v>199</v>
      </c>
      <c r="G173" s="26">
        <v>563.63748699999996</v>
      </c>
      <c r="H173" s="26">
        <v>0.90792600000000001</v>
      </c>
      <c r="I173" s="24"/>
      <c r="J173" s="24"/>
      <c r="K173" s="26">
        <v>0</v>
      </c>
      <c r="L173" s="26">
        <v>66.180000000000007</v>
      </c>
      <c r="M173" s="26">
        <v>11.49</v>
      </c>
      <c r="N173" s="24"/>
    </row>
    <row r="174" spans="1:14" x14ac:dyDescent="0.3">
      <c r="A174" s="25" t="s">
        <v>164</v>
      </c>
      <c r="B174" s="25" t="s">
        <v>407</v>
      </c>
      <c r="C174" s="24" t="s">
        <v>408</v>
      </c>
      <c r="D174" s="25">
        <v>2023</v>
      </c>
      <c r="E174" s="27">
        <v>9769.6963049999995</v>
      </c>
      <c r="F174" s="27">
        <v>199</v>
      </c>
      <c r="G174" s="27">
        <v>563.63748699999996</v>
      </c>
      <c r="H174" s="27">
        <v>0.90792600000000001</v>
      </c>
      <c r="I174" s="25"/>
      <c r="J174" s="25"/>
      <c r="K174" s="27">
        <v>0</v>
      </c>
      <c r="L174" s="27">
        <v>66.180000000000007</v>
      </c>
      <c r="M174" s="27">
        <v>11.49</v>
      </c>
      <c r="N174" s="25"/>
    </row>
  </sheetData>
  <mergeCells count="1">
    <mergeCell ref="A1:N1"/>
  </mergeCells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D6A4F"/>
  </sheetPr>
  <dimension ref="A1:M97"/>
  <sheetViews>
    <sheetView showGridLines="0" workbookViewId="0"/>
  </sheetViews>
  <sheetFormatPr defaultColWidth="11.5546875" defaultRowHeight="13.8" x14ac:dyDescent="0.3"/>
  <cols>
    <col min="1" max="1" width="18.6640625" customWidth="1"/>
    <col min="2" max="2" width="48.6640625" customWidth="1"/>
    <col min="3" max="3" width="18.6640625" customWidth="1"/>
    <col min="4" max="4" width="12.6640625" customWidth="1"/>
    <col min="5" max="5" width="14.6640625" customWidth="1"/>
    <col min="6" max="6" width="12.6640625" customWidth="1"/>
    <col min="7" max="7" width="16.6640625" customWidth="1"/>
    <col min="8" max="8" width="50.6640625" customWidth="1"/>
  </cols>
  <sheetData>
    <row r="1" spans="1:13" ht="28.05" customHeight="1" x14ac:dyDescent="0.3">
      <c r="A1" s="22" t="s">
        <v>309</v>
      </c>
      <c r="B1" s="22"/>
      <c r="C1" s="22"/>
      <c r="D1" s="22"/>
      <c r="E1" s="22"/>
      <c r="F1" s="22"/>
      <c r="G1" s="22"/>
      <c r="H1" s="22"/>
    </row>
    <row r="2" spans="1:13" ht="27.6" x14ac:dyDescent="0.3">
      <c r="A2" s="1" t="s">
        <v>151</v>
      </c>
      <c r="B2" s="1" t="s">
        <v>152</v>
      </c>
      <c r="C2" s="1" t="s">
        <v>153</v>
      </c>
      <c r="D2" s="1" t="s">
        <v>20</v>
      </c>
      <c r="E2" s="1" t="s">
        <v>310</v>
      </c>
      <c r="F2" s="1" t="s">
        <v>311</v>
      </c>
      <c r="G2" s="1" t="s">
        <v>161</v>
      </c>
      <c r="H2" s="1" t="s">
        <v>162</v>
      </c>
    </row>
    <row r="3" spans="1:13" ht="22.05" customHeight="1" x14ac:dyDescent="0.3">
      <c r="A3" s="16" t="s">
        <v>165</v>
      </c>
      <c r="B3" s="14" t="s">
        <v>166</v>
      </c>
      <c r="C3" s="14" t="s">
        <v>167</v>
      </c>
      <c r="D3" s="14"/>
      <c r="E3" s="14">
        <v>10</v>
      </c>
      <c r="F3" s="14" t="s">
        <v>4</v>
      </c>
      <c r="G3" s="14"/>
      <c r="H3" s="14"/>
      <c r="I3" t="s">
        <v>14</v>
      </c>
      <c r="J3" t="s">
        <v>312</v>
      </c>
      <c r="K3" t="b">
        <v>1</v>
      </c>
      <c r="L3" t="s">
        <v>125</v>
      </c>
      <c r="M3" t="s">
        <v>313</v>
      </c>
    </row>
    <row r="4" spans="1:13" ht="22.05" customHeight="1" x14ac:dyDescent="0.3">
      <c r="A4" s="16" t="s">
        <v>168</v>
      </c>
      <c r="B4" s="15" t="s">
        <v>169</v>
      </c>
      <c r="C4" s="15" t="s">
        <v>170</v>
      </c>
      <c r="D4" s="15">
        <v>275</v>
      </c>
      <c r="E4" s="15">
        <v>15</v>
      </c>
      <c r="F4" s="15" t="s">
        <v>4</v>
      </c>
      <c r="G4" s="15"/>
      <c r="H4" s="15"/>
      <c r="I4" t="s">
        <v>15</v>
      </c>
      <c r="J4" t="s">
        <v>312</v>
      </c>
      <c r="K4" t="b">
        <v>1</v>
      </c>
      <c r="L4" t="s">
        <v>171</v>
      </c>
      <c r="M4" t="s">
        <v>314</v>
      </c>
    </row>
    <row r="5" spans="1:13" ht="22.05" customHeight="1" x14ac:dyDescent="0.3">
      <c r="A5" s="16" t="s">
        <v>172</v>
      </c>
      <c r="B5" s="14" t="s">
        <v>173</v>
      </c>
      <c r="C5" s="14" t="s">
        <v>170</v>
      </c>
      <c r="D5" s="14">
        <v>300</v>
      </c>
      <c r="E5" s="14">
        <v>10</v>
      </c>
      <c r="F5" s="14" t="s">
        <v>4</v>
      </c>
      <c r="G5" s="14"/>
      <c r="H5" s="14"/>
      <c r="I5" t="s">
        <v>15</v>
      </c>
      <c r="J5" t="s">
        <v>312</v>
      </c>
      <c r="K5" t="b">
        <v>1</v>
      </c>
      <c r="L5" t="s">
        <v>171</v>
      </c>
      <c r="M5" t="s">
        <v>315</v>
      </c>
    </row>
    <row r="6" spans="1:13" ht="22.05" customHeight="1" x14ac:dyDescent="0.3">
      <c r="A6" s="16" t="s">
        <v>174</v>
      </c>
      <c r="B6" s="15" t="s">
        <v>175</v>
      </c>
      <c r="C6" s="15" t="s">
        <v>176</v>
      </c>
      <c r="D6" s="15">
        <v>0</v>
      </c>
      <c r="E6" s="15">
        <v>30</v>
      </c>
      <c r="F6" s="15" t="s">
        <v>9</v>
      </c>
      <c r="G6" s="15"/>
      <c r="H6" s="15"/>
      <c r="I6" t="s">
        <v>15</v>
      </c>
      <c r="J6" t="s">
        <v>312</v>
      </c>
      <c r="K6" t="b">
        <v>1</v>
      </c>
      <c r="L6" t="s">
        <v>177</v>
      </c>
      <c r="M6" t="s">
        <v>316</v>
      </c>
    </row>
    <row r="7" spans="1:13" ht="22.05" customHeight="1" x14ac:dyDescent="0.3">
      <c r="A7" s="16" t="s">
        <v>178</v>
      </c>
      <c r="B7" s="14" t="s">
        <v>179</v>
      </c>
      <c r="C7" s="14" t="s">
        <v>180</v>
      </c>
      <c r="D7" s="14">
        <v>4</v>
      </c>
      <c r="E7" s="14">
        <v>20</v>
      </c>
      <c r="F7" s="14" t="s">
        <v>4</v>
      </c>
      <c r="G7" s="14"/>
      <c r="H7" s="14"/>
      <c r="I7" t="s">
        <v>15</v>
      </c>
      <c r="J7" t="s">
        <v>312</v>
      </c>
      <c r="K7" t="b">
        <v>1</v>
      </c>
      <c r="L7" t="s">
        <v>125</v>
      </c>
      <c r="M7" t="s">
        <v>317</v>
      </c>
    </row>
    <row r="8" spans="1:13" ht="22.05" customHeight="1" x14ac:dyDescent="0.3">
      <c r="A8" s="16" t="s">
        <v>181</v>
      </c>
      <c r="B8" s="15" t="s">
        <v>182</v>
      </c>
      <c r="C8" s="15" t="s">
        <v>183</v>
      </c>
      <c r="D8" s="15">
        <v>4</v>
      </c>
      <c r="E8" s="15">
        <v>10</v>
      </c>
      <c r="F8" s="15" t="s">
        <v>4</v>
      </c>
      <c r="G8" s="15"/>
      <c r="H8" s="15"/>
      <c r="I8" t="s">
        <v>15</v>
      </c>
      <c r="J8" t="s">
        <v>312</v>
      </c>
      <c r="K8" t="b">
        <v>1</v>
      </c>
      <c r="L8" t="s">
        <v>125</v>
      </c>
      <c r="M8" t="s">
        <v>318</v>
      </c>
    </row>
    <row r="9" spans="1:13" ht="22.05" customHeight="1" x14ac:dyDescent="0.3">
      <c r="A9" s="16" t="s">
        <v>184</v>
      </c>
      <c r="B9" s="14" t="s">
        <v>185</v>
      </c>
      <c r="C9" s="14" t="s">
        <v>186</v>
      </c>
      <c r="D9" s="14">
        <v>0.6</v>
      </c>
      <c r="E9" s="14">
        <v>20</v>
      </c>
      <c r="F9" s="14" t="s">
        <v>7</v>
      </c>
      <c r="G9" s="14"/>
      <c r="H9" s="14"/>
      <c r="I9" t="s">
        <v>15</v>
      </c>
      <c r="J9" t="s">
        <v>312</v>
      </c>
      <c r="K9" t="b">
        <v>1</v>
      </c>
      <c r="L9" t="s">
        <v>125</v>
      </c>
      <c r="M9" t="s">
        <v>319</v>
      </c>
    </row>
    <row r="10" spans="1:13" ht="22.05" customHeight="1" x14ac:dyDescent="0.3">
      <c r="A10" s="16" t="s">
        <v>187</v>
      </c>
      <c r="B10" s="15" t="s">
        <v>188</v>
      </c>
      <c r="C10" s="15" t="s">
        <v>183</v>
      </c>
      <c r="D10" s="15">
        <v>55</v>
      </c>
      <c r="E10" s="15">
        <v>15</v>
      </c>
      <c r="F10" s="15" t="s">
        <v>4</v>
      </c>
      <c r="G10" s="15"/>
      <c r="H10" s="15"/>
      <c r="I10" t="s">
        <v>15</v>
      </c>
      <c r="J10" t="s">
        <v>312</v>
      </c>
      <c r="K10" t="b">
        <v>1</v>
      </c>
      <c r="L10" t="s">
        <v>189</v>
      </c>
      <c r="M10" t="s">
        <v>320</v>
      </c>
    </row>
    <row r="11" spans="1:13" ht="22.05" customHeight="1" x14ac:dyDescent="0.3">
      <c r="A11" s="16" t="s">
        <v>42</v>
      </c>
      <c r="B11" s="14" t="s">
        <v>190</v>
      </c>
      <c r="C11" s="14" t="s">
        <v>191</v>
      </c>
      <c r="D11" s="14">
        <v>0.38600000000000001</v>
      </c>
      <c r="E11" s="14">
        <v>30</v>
      </c>
      <c r="F11" s="14" t="s">
        <v>9</v>
      </c>
      <c r="G11" s="14"/>
      <c r="H11" s="14"/>
      <c r="I11" t="s">
        <v>15</v>
      </c>
      <c r="J11" t="s">
        <v>321</v>
      </c>
      <c r="K11" t="b">
        <v>0</v>
      </c>
      <c r="L11" t="s">
        <v>192</v>
      </c>
      <c r="M11" t="s">
        <v>322</v>
      </c>
    </row>
    <row r="12" spans="1:13" ht="22.05" customHeight="1" x14ac:dyDescent="0.3">
      <c r="A12" s="16" t="s">
        <v>193</v>
      </c>
      <c r="B12" s="15" t="s">
        <v>194</v>
      </c>
      <c r="C12" s="15" t="s">
        <v>195</v>
      </c>
      <c r="D12" s="15">
        <v>0.17</v>
      </c>
      <c r="E12" s="15">
        <v>30</v>
      </c>
      <c r="F12" s="15" t="s">
        <v>8</v>
      </c>
      <c r="G12" s="15"/>
      <c r="H12" s="15"/>
      <c r="I12" t="s">
        <v>15</v>
      </c>
      <c r="J12" t="s">
        <v>321</v>
      </c>
      <c r="K12" t="b">
        <v>0</v>
      </c>
      <c r="L12" t="s">
        <v>196</v>
      </c>
      <c r="M12" t="s">
        <v>323</v>
      </c>
    </row>
    <row r="13" spans="1:13" ht="22.05" customHeight="1" x14ac:dyDescent="0.3">
      <c r="A13" s="16" t="s">
        <v>197</v>
      </c>
      <c r="B13" s="14" t="s">
        <v>198</v>
      </c>
      <c r="C13" s="14" t="s">
        <v>195</v>
      </c>
      <c r="D13" s="14">
        <v>0.8</v>
      </c>
      <c r="E13" s="14">
        <v>30</v>
      </c>
      <c r="F13" s="14" t="s">
        <v>8</v>
      </c>
      <c r="G13" s="14"/>
      <c r="H13" s="14"/>
      <c r="I13" t="s">
        <v>15</v>
      </c>
      <c r="J13" t="s">
        <v>321</v>
      </c>
      <c r="K13" t="b">
        <v>0</v>
      </c>
      <c r="L13" t="s">
        <v>199</v>
      </c>
      <c r="M13" t="s">
        <v>324</v>
      </c>
    </row>
    <row r="14" spans="1:13" ht="22.05" customHeight="1" x14ac:dyDescent="0.3">
      <c r="A14" s="16" t="s">
        <v>200</v>
      </c>
      <c r="B14" s="15" t="s">
        <v>201</v>
      </c>
      <c r="C14" s="15" t="s">
        <v>195</v>
      </c>
      <c r="D14" s="15">
        <v>0.1</v>
      </c>
      <c r="E14" s="15">
        <v>10</v>
      </c>
      <c r="F14" s="15" t="s">
        <v>7</v>
      </c>
      <c r="G14" s="15"/>
      <c r="H14" s="15"/>
      <c r="I14" t="s">
        <v>15</v>
      </c>
      <c r="J14" t="s">
        <v>321</v>
      </c>
      <c r="K14" t="b">
        <v>0</v>
      </c>
      <c r="L14" t="s">
        <v>202</v>
      </c>
      <c r="M14" t="s">
        <v>325</v>
      </c>
    </row>
    <row r="15" spans="1:13" ht="22.05" customHeight="1" x14ac:dyDescent="0.3">
      <c r="A15" s="16" t="s">
        <v>203</v>
      </c>
      <c r="B15" s="14" t="s">
        <v>204</v>
      </c>
      <c r="C15" s="14" t="s">
        <v>205</v>
      </c>
      <c r="D15" s="14">
        <v>0</v>
      </c>
      <c r="E15" s="14">
        <v>20</v>
      </c>
      <c r="F15" s="14" t="s">
        <v>9</v>
      </c>
      <c r="G15" s="14"/>
      <c r="H15" s="14"/>
      <c r="I15" t="s">
        <v>15</v>
      </c>
      <c r="J15" t="s">
        <v>312</v>
      </c>
      <c r="K15" t="b">
        <v>1</v>
      </c>
      <c r="L15" t="s">
        <v>206</v>
      </c>
      <c r="M15" t="s">
        <v>326</v>
      </c>
    </row>
    <row r="16" spans="1:13" ht="22.05" customHeight="1" x14ac:dyDescent="0.3">
      <c r="A16" s="16" t="s">
        <v>207</v>
      </c>
      <c r="B16" s="15" t="s">
        <v>208</v>
      </c>
      <c r="C16" s="15" t="s">
        <v>183</v>
      </c>
      <c r="D16" s="15">
        <v>10</v>
      </c>
      <c r="E16" s="15">
        <v>15</v>
      </c>
      <c r="F16" s="15" t="s">
        <v>4</v>
      </c>
      <c r="G16" s="15"/>
      <c r="H16" s="15"/>
      <c r="I16" t="s">
        <v>15</v>
      </c>
      <c r="J16" t="s">
        <v>312</v>
      </c>
      <c r="K16" t="b">
        <v>1</v>
      </c>
      <c r="L16" t="s">
        <v>209</v>
      </c>
      <c r="M16" t="s">
        <v>327</v>
      </c>
    </row>
    <row r="17" spans="1:13" ht="22.05" customHeight="1" x14ac:dyDescent="0.3">
      <c r="A17" s="16" t="s">
        <v>210</v>
      </c>
      <c r="B17" s="14" t="s">
        <v>211</v>
      </c>
      <c r="C17" s="14" t="s">
        <v>183</v>
      </c>
      <c r="D17" s="14">
        <v>6.5</v>
      </c>
      <c r="E17" s="14">
        <v>8</v>
      </c>
      <c r="F17" s="14" t="s">
        <v>9</v>
      </c>
      <c r="G17" s="14"/>
      <c r="H17" s="14"/>
      <c r="I17" t="s">
        <v>15</v>
      </c>
      <c r="J17" t="s">
        <v>321</v>
      </c>
      <c r="K17" t="b">
        <v>0</v>
      </c>
      <c r="L17" t="s">
        <v>212</v>
      </c>
      <c r="M17" t="s">
        <v>328</v>
      </c>
    </row>
    <row r="18" spans="1:13" ht="22.05" customHeight="1" x14ac:dyDescent="0.3">
      <c r="A18" s="16" t="s">
        <v>213</v>
      </c>
      <c r="B18" s="15" t="s">
        <v>214</v>
      </c>
      <c r="C18" s="15" t="s">
        <v>215</v>
      </c>
      <c r="D18" s="15">
        <v>0.13</v>
      </c>
      <c r="E18" s="15">
        <v>20</v>
      </c>
      <c r="F18" s="15" t="s">
        <v>9</v>
      </c>
      <c r="G18" s="15"/>
      <c r="H18" s="15"/>
      <c r="I18" t="s">
        <v>15</v>
      </c>
      <c r="J18" t="s">
        <v>321</v>
      </c>
      <c r="K18" t="b">
        <v>0</v>
      </c>
      <c r="L18" t="s">
        <v>216</v>
      </c>
      <c r="M18" t="s">
        <v>329</v>
      </c>
    </row>
    <row r="19" spans="1:13" ht="22.05" customHeight="1" x14ac:dyDescent="0.3">
      <c r="A19" s="16" t="s">
        <v>217</v>
      </c>
      <c r="B19" s="14" t="s">
        <v>218</v>
      </c>
      <c r="C19" s="14" t="s">
        <v>219</v>
      </c>
      <c r="D19" s="14">
        <v>0.08</v>
      </c>
      <c r="E19" s="14">
        <v>25</v>
      </c>
      <c r="F19" s="14" t="s">
        <v>9</v>
      </c>
      <c r="G19" s="14"/>
      <c r="H19" s="14"/>
      <c r="I19" t="s">
        <v>15</v>
      </c>
      <c r="J19" t="s">
        <v>321</v>
      </c>
      <c r="K19" t="b">
        <v>0</v>
      </c>
      <c r="L19" t="s">
        <v>220</v>
      </c>
      <c r="M19" t="s">
        <v>330</v>
      </c>
    </row>
    <row r="20" spans="1:13" ht="22.05" customHeight="1" x14ac:dyDescent="0.3">
      <c r="A20" s="16" t="s">
        <v>221</v>
      </c>
      <c r="B20" s="15" t="s">
        <v>222</v>
      </c>
      <c r="C20" s="15" t="s">
        <v>219</v>
      </c>
      <c r="D20" s="15">
        <v>0.04</v>
      </c>
      <c r="E20" s="15">
        <v>25</v>
      </c>
      <c r="F20" s="15" t="s">
        <v>9</v>
      </c>
      <c r="G20" s="15"/>
      <c r="H20" s="15"/>
      <c r="I20" t="s">
        <v>15</v>
      </c>
      <c r="J20" t="s">
        <v>321</v>
      </c>
      <c r="K20" t="b">
        <v>0</v>
      </c>
      <c r="L20" t="s">
        <v>220</v>
      </c>
      <c r="M20" t="s">
        <v>331</v>
      </c>
    </row>
    <row r="21" spans="1:13" ht="22.05" customHeight="1" x14ac:dyDescent="0.3">
      <c r="A21" s="16" t="s">
        <v>223</v>
      </c>
      <c r="B21" s="14" t="s">
        <v>224</v>
      </c>
      <c r="C21" s="14" t="s">
        <v>225</v>
      </c>
      <c r="D21" s="14">
        <v>4.0000000000000001E-3</v>
      </c>
      <c r="E21" s="14"/>
      <c r="F21" s="14" t="s">
        <v>9</v>
      </c>
      <c r="G21" s="14">
        <v>7.0000000000000001E-3</v>
      </c>
      <c r="H21" s="14">
        <v>0.06</v>
      </c>
      <c r="I21" t="s">
        <v>15</v>
      </c>
      <c r="J21" t="s">
        <v>321</v>
      </c>
      <c r="K21" t="b">
        <v>0</v>
      </c>
      <c r="L21" t="s">
        <v>226</v>
      </c>
      <c r="M21" t="s">
        <v>332</v>
      </c>
    </row>
    <row r="22" spans="1:13" ht="22.05" customHeight="1" x14ac:dyDescent="0.3">
      <c r="A22" s="16" t="s">
        <v>227</v>
      </c>
      <c r="B22" s="15" t="s">
        <v>228</v>
      </c>
      <c r="C22" s="15" t="s">
        <v>225</v>
      </c>
      <c r="D22" s="15">
        <v>5.0000000000000001E-3</v>
      </c>
      <c r="E22" s="15"/>
      <c r="F22" s="15" t="s">
        <v>9</v>
      </c>
      <c r="G22" s="15">
        <v>1E-3</v>
      </c>
      <c r="H22" s="15">
        <v>2.5000000000000001E-2</v>
      </c>
      <c r="I22" t="s">
        <v>15</v>
      </c>
      <c r="J22" t="s">
        <v>321</v>
      </c>
      <c r="K22" t="b">
        <v>0</v>
      </c>
      <c r="L22" t="s">
        <v>229</v>
      </c>
      <c r="M22" t="s">
        <v>333</v>
      </c>
    </row>
    <row r="23" spans="1:13" ht="22.05" customHeight="1" x14ac:dyDescent="0.3">
      <c r="A23" s="16" t="s">
        <v>230</v>
      </c>
      <c r="B23" s="14" t="s">
        <v>231</v>
      </c>
      <c r="C23" s="14" t="s">
        <v>219</v>
      </c>
      <c r="D23" s="14">
        <v>0.21</v>
      </c>
      <c r="E23" s="14"/>
      <c r="F23" s="14" t="s">
        <v>9</v>
      </c>
      <c r="G23" s="14">
        <v>0.1</v>
      </c>
      <c r="H23" s="14">
        <v>0.4</v>
      </c>
      <c r="I23" t="s">
        <v>15</v>
      </c>
      <c r="J23" t="s">
        <v>321</v>
      </c>
      <c r="K23" t="b">
        <v>0</v>
      </c>
      <c r="L23" t="s">
        <v>232</v>
      </c>
      <c r="M23" t="s">
        <v>334</v>
      </c>
    </row>
    <row r="24" spans="1:13" ht="22.05" customHeight="1" x14ac:dyDescent="0.3">
      <c r="A24" s="16" t="s">
        <v>233</v>
      </c>
      <c r="B24" s="15" t="s">
        <v>234</v>
      </c>
      <c r="C24" s="15" t="s">
        <v>225</v>
      </c>
      <c r="D24" s="15">
        <v>0.01</v>
      </c>
      <c r="E24" s="15"/>
      <c r="F24" s="15" t="s">
        <v>6</v>
      </c>
      <c r="G24" s="15">
        <v>2E-3</v>
      </c>
      <c r="H24" s="15">
        <v>0.02</v>
      </c>
      <c r="I24" t="s">
        <v>15</v>
      </c>
      <c r="J24" t="s">
        <v>321</v>
      </c>
      <c r="K24" t="b">
        <v>0</v>
      </c>
      <c r="L24" t="s">
        <v>235</v>
      </c>
      <c r="M24" t="s">
        <v>335</v>
      </c>
    </row>
    <row r="25" spans="1:13" ht="22.05" customHeight="1" x14ac:dyDescent="0.3">
      <c r="A25" s="16" t="s">
        <v>236</v>
      </c>
      <c r="B25" s="14" t="s">
        <v>237</v>
      </c>
      <c r="C25" s="14" t="s">
        <v>225</v>
      </c>
      <c r="D25" s="14">
        <v>1.0999999999999999E-2</v>
      </c>
      <c r="E25" s="14"/>
      <c r="F25" s="14" t="s">
        <v>6</v>
      </c>
      <c r="G25" s="14">
        <v>5.0000000000000001E-4</v>
      </c>
      <c r="H25" s="14">
        <v>2.5000000000000001E-2</v>
      </c>
      <c r="I25" t="s">
        <v>15</v>
      </c>
      <c r="J25" t="s">
        <v>321</v>
      </c>
      <c r="K25" t="b">
        <v>0</v>
      </c>
      <c r="L25" t="s">
        <v>235</v>
      </c>
      <c r="M25" t="s">
        <v>336</v>
      </c>
    </row>
    <row r="26" spans="1:13" ht="22.05" customHeight="1" x14ac:dyDescent="0.3">
      <c r="A26" s="16" t="s">
        <v>238</v>
      </c>
      <c r="B26" s="15" t="s">
        <v>239</v>
      </c>
      <c r="C26" s="15" t="s">
        <v>219</v>
      </c>
      <c r="D26" s="15">
        <v>0.02</v>
      </c>
      <c r="E26" s="15"/>
      <c r="F26" s="15" t="s">
        <v>6</v>
      </c>
      <c r="G26" s="15">
        <v>0.01</v>
      </c>
      <c r="H26" s="15">
        <v>0.1</v>
      </c>
      <c r="I26" t="s">
        <v>15</v>
      </c>
      <c r="J26" t="s">
        <v>321</v>
      </c>
      <c r="K26" t="b">
        <v>0</v>
      </c>
      <c r="L26" t="s">
        <v>240</v>
      </c>
      <c r="M26" t="s">
        <v>337</v>
      </c>
    </row>
    <row r="27" spans="1:13" ht="22.05" customHeight="1" x14ac:dyDescent="0.3">
      <c r="A27" s="16" t="s">
        <v>241</v>
      </c>
      <c r="B27" s="14" t="s">
        <v>242</v>
      </c>
      <c r="C27" s="14" t="s">
        <v>219</v>
      </c>
      <c r="D27" s="14">
        <v>0.21</v>
      </c>
      <c r="E27" s="14"/>
      <c r="F27" s="14" t="s">
        <v>9</v>
      </c>
      <c r="G27" s="14">
        <v>0.05</v>
      </c>
      <c r="H27" s="14">
        <v>0.5</v>
      </c>
      <c r="I27" t="s">
        <v>15</v>
      </c>
      <c r="J27" t="s">
        <v>321</v>
      </c>
      <c r="K27" t="b">
        <v>0</v>
      </c>
      <c r="L27" t="s">
        <v>235</v>
      </c>
      <c r="M27" t="s">
        <v>338</v>
      </c>
    </row>
    <row r="28" spans="1:13" ht="22.05" customHeight="1" x14ac:dyDescent="0.3">
      <c r="A28" s="16" t="s">
        <v>243</v>
      </c>
      <c r="B28" s="15" t="s">
        <v>244</v>
      </c>
      <c r="C28" s="15" t="s">
        <v>219</v>
      </c>
      <c r="D28" s="15">
        <v>0.24</v>
      </c>
      <c r="E28" s="15"/>
      <c r="F28" s="15" t="s">
        <v>9</v>
      </c>
      <c r="G28" s="15">
        <v>0.05</v>
      </c>
      <c r="H28" s="15">
        <v>0.8</v>
      </c>
      <c r="I28" t="s">
        <v>15</v>
      </c>
      <c r="J28" t="s">
        <v>321</v>
      </c>
      <c r="K28" t="b">
        <v>0</v>
      </c>
      <c r="L28" t="s">
        <v>235</v>
      </c>
      <c r="M28" t="s">
        <v>339</v>
      </c>
    </row>
    <row r="29" spans="1:13" ht="22.05" customHeight="1" x14ac:dyDescent="0.3">
      <c r="A29" s="16" t="s">
        <v>245</v>
      </c>
      <c r="B29" s="14" t="s">
        <v>246</v>
      </c>
      <c r="C29" s="14" t="s">
        <v>183</v>
      </c>
      <c r="D29" s="14">
        <v>3.3</v>
      </c>
      <c r="E29" s="14">
        <v>10</v>
      </c>
      <c r="F29" s="14" t="s">
        <v>4</v>
      </c>
      <c r="G29" s="14"/>
      <c r="H29" s="14"/>
      <c r="I29" t="s">
        <v>15</v>
      </c>
      <c r="J29" t="s">
        <v>312</v>
      </c>
      <c r="K29" t="b">
        <v>1</v>
      </c>
      <c r="L29" t="s">
        <v>247</v>
      </c>
      <c r="M29" t="s">
        <v>340</v>
      </c>
    </row>
    <row r="30" spans="1:13" ht="22.05" customHeight="1" x14ac:dyDescent="0.3">
      <c r="A30" s="16" t="s">
        <v>248</v>
      </c>
      <c r="B30" s="15" t="s">
        <v>249</v>
      </c>
      <c r="C30" s="15" t="s">
        <v>250</v>
      </c>
      <c r="D30" s="15">
        <v>20</v>
      </c>
      <c r="E30" s="15">
        <v>25</v>
      </c>
      <c r="F30" s="15" t="s">
        <v>4</v>
      </c>
      <c r="G30" s="15"/>
      <c r="H30" s="15"/>
      <c r="I30" t="s">
        <v>15</v>
      </c>
      <c r="J30" t="s">
        <v>321</v>
      </c>
      <c r="K30" t="b">
        <v>1</v>
      </c>
      <c r="L30" t="s">
        <v>251</v>
      </c>
      <c r="M30" t="s">
        <v>341</v>
      </c>
    </row>
    <row r="32" spans="1:13" ht="28.05" customHeight="1" x14ac:dyDescent="0.3">
      <c r="A32" s="22" t="s">
        <v>342</v>
      </c>
      <c r="B32" s="22"/>
      <c r="C32" s="22"/>
      <c r="D32" s="22"/>
      <c r="E32" s="22"/>
      <c r="F32" s="22"/>
      <c r="G32" s="22"/>
      <c r="H32" s="22"/>
    </row>
    <row r="33" spans="1:8" ht="22.05" customHeight="1" x14ac:dyDescent="0.3">
      <c r="A33" s="23" t="s">
        <v>343</v>
      </c>
      <c r="B33" s="23"/>
      <c r="C33" s="23"/>
      <c r="D33" s="23"/>
      <c r="E33" s="23"/>
      <c r="F33" s="23"/>
      <c r="G33" s="23"/>
      <c r="H33" s="23"/>
    </row>
    <row r="34" spans="1:8" x14ac:dyDescent="0.3">
      <c r="A34" s="1" t="s">
        <v>344</v>
      </c>
      <c r="B34" s="1" t="s">
        <v>63</v>
      </c>
      <c r="C34" s="1" t="s">
        <v>345</v>
      </c>
    </row>
    <row r="35" spans="1:8" x14ac:dyDescent="0.3">
      <c r="A35" s="16" t="s">
        <v>36</v>
      </c>
      <c r="B35" s="17" t="s">
        <v>346</v>
      </c>
      <c r="C35" s="17" t="s">
        <v>347</v>
      </c>
    </row>
    <row r="36" spans="1:8" x14ac:dyDescent="0.3">
      <c r="A36" s="19" t="s">
        <v>37</v>
      </c>
      <c r="B36" s="18" t="s">
        <v>348</v>
      </c>
      <c r="C36" s="18" t="s">
        <v>347</v>
      </c>
    </row>
    <row r="37" spans="1:8" x14ac:dyDescent="0.3">
      <c r="A37" s="16" t="s">
        <v>38</v>
      </c>
      <c r="B37" s="17" t="s">
        <v>349</v>
      </c>
      <c r="C37" s="17" t="s">
        <v>347</v>
      </c>
    </row>
    <row r="39" spans="1:8" ht="22.05" customHeight="1" x14ac:dyDescent="0.3">
      <c r="A39" s="23" t="s">
        <v>350</v>
      </c>
      <c r="B39" s="23"/>
      <c r="C39" s="23"/>
      <c r="D39" s="23"/>
      <c r="E39" s="23"/>
      <c r="F39" s="23"/>
      <c r="G39" s="23"/>
      <c r="H39" s="23"/>
    </row>
    <row r="40" spans="1:8" x14ac:dyDescent="0.3">
      <c r="A40" s="1" t="s">
        <v>253</v>
      </c>
      <c r="B40" s="1" t="s">
        <v>351</v>
      </c>
      <c r="C40" s="1" t="s">
        <v>352</v>
      </c>
      <c r="D40" s="1" t="s">
        <v>353</v>
      </c>
      <c r="E40" s="1" t="s">
        <v>354</v>
      </c>
    </row>
    <row r="41" spans="1:8" x14ac:dyDescent="0.3">
      <c r="A41" s="16" t="s">
        <v>23</v>
      </c>
      <c r="B41" s="17">
        <v>1.5</v>
      </c>
      <c r="C41" s="17">
        <v>1.5</v>
      </c>
      <c r="D41" s="17">
        <v>1</v>
      </c>
      <c r="E41" s="17">
        <v>1</v>
      </c>
    </row>
    <row r="42" spans="1:8" x14ac:dyDescent="0.3">
      <c r="A42" s="19" t="s">
        <v>24</v>
      </c>
      <c r="B42" s="18">
        <v>1</v>
      </c>
      <c r="C42" s="18">
        <v>1</v>
      </c>
      <c r="D42" s="18">
        <v>0.5</v>
      </c>
      <c r="E42" s="18">
        <v>0.1</v>
      </c>
    </row>
    <row r="43" spans="1:8" x14ac:dyDescent="0.3">
      <c r="A43" s="16" t="s">
        <v>25</v>
      </c>
      <c r="B43" s="17">
        <v>5</v>
      </c>
      <c r="C43" s="17">
        <v>5</v>
      </c>
      <c r="D43" s="17">
        <v>4</v>
      </c>
      <c r="E43" s="17">
        <v>3</v>
      </c>
    </row>
    <row r="44" spans="1:8" x14ac:dyDescent="0.3">
      <c r="A44" s="19" t="s">
        <v>26</v>
      </c>
      <c r="B44" s="18">
        <v>4</v>
      </c>
      <c r="C44" s="18">
        <v>4</v>
      </c>
      <c r="D44" s="18">
        <v>2</v>
      </c>
      <c r="E44" s="18">
        <v>1</v>
      </c>
    </row>
    <row r="45" spans="1:8" x14ac:dyDescent="0.3">
      <c r="A45" s="16" t="s">
        <v>27</v>
      </c>
      <c r="B45" s="17">
        <v>5</v>
      </c>
      <c r="C45" s="17">
        <v>5</v>
      </c>
      <c r="D45" s="17">
        <v>1.5</v>
      </c>
      <c r="E45" s="17">
        <v>1</v>
      </c>
    </row>
    <row r="46" spans="1:8" x14ac:dyDescent="0.3">
      <c r="A46" s="19" t="s">
        <v>28</v>
      </c>
      <c r="B46" s="18">
        <v>30</v>
      </c>
      <c r="C46" s="18">
        <v>30</v>
      </c>
      <c r="D46" s="18">
        <v>17</v>
      </c>
      <c r="E46" s="18">
        <v>3</v>
      </c>
    </row>
    <row r="47" spans="1:8" x14ac:dyDescent="0.3">
      <c r="A47" s="16" t="s">
        <v>29</v>
      </c>
      <c r="B47" s="17">
        <v>80</v>
      </c>
      <c r="C47" s="17">
        <v>80</v>
      </c>
      <c r="D47" s="17">
        <v>35</v>
      </c>
      <c r="E47" s="17">
        <v>10</v>
      </c>
    </row>
    <row r="48" spans="1:8" x14ac:dyDescent="0.3">
      <c r="A48" s="19" t="s">
        <v>30</v>
      </c>
      <c r="B48" s="18">
        <v>1.5</v>
      </c>
      <c r="C48" s="18">
        <v>1.5</v>
      </c>
      <c r="D48" s="18">
        <v>1</v>
      </c>
      <c r="E48" s="18">
        <v>0.5</v>
      </c>
    </row>
    <row r="49" spans="1:8" x14ac:dyDescent="0.3">
      <c r="A49" s="16" t="s">
        <v>31</v>
      </c>
      <c r="B49" s="17">
        <v>80</v>
      </c>
      <c r="C49" s="17">
        <v>80</v>
      </c>
      <c r="D49" s="17">
        <v>66</v>
      </c>
      <c r="E49" s="17">
        <v>66</v>
      </c>
    </row>
    <row r="50" spans="1:8" x14ac:dyDescent="0.3">
      <c r="A50" s="19" t="s">
        <v>32</v>
      </c>
      <c r="B50" s="18">
        <v>3.5</v>
      </c>
      <c r="C50" s="18">
        <v>3.5</v>
      </c>
      <c r="D50" s="18">
        <v>1</v>
      </c>
      <c r="E50" s="18">
        <v>1</v>
      </c>
    </row>
    <row r="51" spans="1:8" x14ac:dyDescent="0.3">
      <c r="A51" s="16" t="s">
        <v>33</v>
      </c>
      <c r="B51" s="17">
        <v>0</v>
      </c>
      <c r="C51" s="17">
        <v>0</v>
      </c>
      <c r="D51" s="17">
        <v>0</v>
      </c>
      <c r="E51" s="17">
        <v>0</v>
      </c>
    </row>
    <row r="52" spans="1:8" x14ac:dyDescent="0.3">
      <c r="A52" s="19" t="s">
        <v>34</v>
      </c>
      <c r="B52" s="18">
        <v>10</v>
      </c>
      <c r="C52" s="18">
        <v>10</v>
      </c>
      <c r="D52" s="18">
        <v>10</v>
      </c>
      <c r="E52" s="18">
        <v>10</v>
      </c>
    </row>
    <row r="54" spans="1:8" ht="22.05" customHeight="1" x14ac:dyDescent="0.3">
      <c r="A54" s="23" t="s">
        <v>355</v>
      </c>
      <c r="B54" s="23"/>
      <c r="C54" s="23"/>
      <c r="D54" s="23"/>
      <c r="E54" s="23"/>
      <c r="F54" s="23"/>
      <c r="G54" s="23"/>
      <c r="H54" s="23"/>
    </row>
    <row r="55" spans="1:8" ht="27.6" x14ac:dyDescent="0.3">
      <c r="A55" s="1" t="s">
        <v>344</v>
      </c>
      <c r="B55" s="1" t="s">
        <v>63</v>
      </c>
      <c r="C55" s="1" t="s">
        <v>356</v>
      </c>
      <c r="D55" s="1" t="s">
        <v>357</v>
      </c>
      <c r="E55" s="1" t="s">
        <v>358</v>
      </c>
    </row>
    <row r="56" spans="1:8" x14ac:dyDescent="0.3">
      <c r="A56" s="16" t="s">
        <v>23</v>
      </c>
      <c r="B56" s="17" t="s">
        <v>70</v>
      </c>
      <c r="C56" s="17">
        <v>0.02</v>
      </c>
      <c r="D56" s="17">
        <v>1.5</v>
      </c>
      <c r="E56" s="17">
        <v>1</v>
      </c>
    </row>
    <row r="57" spans="1:8" x14ac:dyDescent="0.3">
      <c r="A57" s="19" t="s">
        <v>24</v>
      </c>
      <c r="B57" s="18" t="s">
        <v>72</v>
      </c>
      <c r="C57" s="18">
        <v>0</v>
      </c>
      <c r="D57" s="18">
        <v>1</v>
      </c>
      <c r="E57" s="18">
        <v>0.5</v>
      </c>
    </row>
    <row r="58" spans="1:8" x14ac:dyDescent="0.3">
      <c r="A58" s="16" t="s">
        <v>25</v>
      </c>
      <c r="B58" s="17" t="s">
        <v>73</v>
      </c>
      <c r="C58" s="17">
        <v>5.0000000000000001E-3</v>
      </c>
      <c r="D58" s="17">
        <v>5</v>
      </c>
      <c r="E58" s="17">
        <v>4</v>
      </c>
    </row>
    <row r="59" spans="1:8" x14ac:dyDescent="0.3">
      <c r="A59" s="19" t="s">
        <v>26</v>
      </c>
      <c r="B59" s="18" t="s">
        <v>74</v>
      </c>
      <c r="C59" s="18">
        <v>5.0000000000000001E-3</v>
      </c>
      <c r="D59" s="18">
        <v>4</v>
      </c>
      <c r="E59" s="18">
        <v>2</v>
      </c>
    </row>
    <row r="60" spans="1:8" x14ac:dyDescent="0.3">
      <c r="A60" s="16" t="s">
        <v>27</v>
      </c>
      <c r="B60" s="17" t="s">
        <v>76</v>
      </c>
      <c r="C60" s="17">
        <v>0.02</v>
      </c>
      <c r="D60" s="17">
        <v>5</v>
      </c>
      <c r="E60" s="17">
        <v>1.5</v>
      </c>
    </row>
    <row r="61" spans="1:8" x14ac:dyDescent="0.3">
      <c r="A61" s="19" t="s">
        <v>28</v>
      </c>
      <c r="B61" s="18" t="s">
        <v>77</v>
      </c>
      <c r="C61" s="18">
        <v>0.01</v>
      </c>
      <c r="D61" s="18">
        <v>30</v>
      </c>
      <c r="E61" s="18">
        <v>17</v>
      </c>
    </row>
    <row r="62" spans="1:8" x14ac:dyDescent="0.3">
      <c r="A62" s="16" t="s">
        <v>29</v>
      </c>
      <c r="B62" s="17" t="s">
        <v>78</v>
      </c>
      <c r="C62" s="17">
        <v>5.0000000000000001E-3</v>
      </c>
      <c r="D62" s="17">
        <v>80</v>
      </c>
      <c r="E62" s="17">
        <v>35</v>
      </c>
    </row>
    <row r="63" spans="1:8" x14ac:dyDescent="0.3">
      <c r="A63" s="19" t="s">
        <v>30</v>
      </c>
      <c r="B63" s="18" t="s">
        <v>79</v>
      </c>
      <c r="C63" s="18">
        <v>6.0000000000000001E-3</v>
      </c>
      <c r="D63" s="18">
        <v>1.5</v>
      </c>
      <c r="E63" s="18">
        <v>1</v>
      </c>
    </row>
    <row r="64" spans="1:8" x14ac:dyDescent="0.3">
      <c r="A64" s="16" t="s">
        <v>31</v>
      </c>
      <c r="B64" s="17" t="s">
        <v>80</v>
      </c>
      <c r="C64" s="17">
        <v>0</v>
      </c>
      <c r="D64" s="17">
        <v>80</v>
      </c>
      <c r="E64" s="17">
        <v>66</v>
      </c>
    </row>
    <row r="65" spans="1:8" x14ac:dyDescent="0.3">
      <c r="A65" s="19" t="s">
        <v>32</v>
      </c>
      <c r="B65" s="18" t="s">
        <v>81</v>
      </c>
      <c r="C65" s="18">
        <v>5.9999999999999995E-4</v>
      </c>
      <c r="D65" s="18">
        <v>3.5</v>
      </c>
      <c r="E65" s="18">
        <v>1</v>
      </c>
    </row>
    <row r="66" spans="1:8" x14ac:dyDescent="0.3">
      <c r="A66" s="16" t="s">
        <v>33</v>
      </c>
      <c r="B66" s="17" t="s">
        <v>82</v>
      </c>
      <c r="C66" s="17">
        <v>5.0000000000000001E-3</v>
      </c>
      <c r="D66" s="17">
        <v>0</v>
      </c>
      <c r="E66" s="17">
        <v>0</v>
      </c>
    </row>
    <row r="67" spans="1:8" x14ac:dyDescent="0.3">
      <c r="A67" s="19" t="s">
        <v>34</v>
      </c>
      <c r="B67" s="18" t="s">
        <v>83</v>
      </c>
      <c r="C67" s="18">
        <v>0</v>
      </c>
      <c r="D67" s="18">
        <v>10</v>
      </c>
      <c r="E67" s="18">
        <v>10</v>
      </c>
    </row>
    <row r="69" spans="1:8" ht="22.05" customHeight="1" x14ac:dyDescent="0.3">
      <c r="A69" s="23" t="s">
        <v>359</v>
      </c>
      <c r="B69" s="23"/>
      <c r="C69" s="23"/>
      <c r="D69" s="23"/>
      <c r="E69" s="23"/>
      <c r="F69" s="23"/>
      <c r="G69" s="23"/>
      <c r="H69" s="23"/>
    </row>
    <row r="70" spans="1:8" x14ac:dyDescent="0.3">
      <c r="A70" s="1" t="s">
        <v>344</v>
      </c>
      <c r="B70" s="1" t="s">
        <v>360</v>
      </c>
      <c r="C70" s="1" t="s">
        <v>361</v>
      </c>
      <c r="D70" s="1" t="s">
        <v>362</v>
      </c>
    </row>
    <row r="71" spans="1:8" x14ac:dyDescent="0.3">
      <c r="A71" s="16" t="s">
        <v>4</v>
      </c>
      <c r="B71" s="17" t="s">
        <v>363</v>
      </c>
      <c r="C71" s="17" t="s">
        <v>364</v>
      </c>
      <c r="D71" s="17" t="s">
        <v>365</v>
      </c>
    </row>
    <row r="72" spans="1:8" x14ac:dyDescent="0.3">
      <c r="A72" s="19" t="s">
        <v>5</v>
      </c>
      <c r="B72" s="18" t="s">
        <v>366</v>
      </c>
      <c r="C72" s="18" t="s">
        <v>367</v>
      </c>
      <c r="D72" s="18" t="s">
        <v>365</v>
      </c>
    </row>
    <row r="73" spans="1:8" x14ac:dyDescent="0.3">
      <c r="A73" s="16" t="s">
        <v>6</v>
      </c>
      <c r="B73" s="17" t="s">
        <v>368</v>
      </c>
      <c r="C73" s="17" t="s">
        <v>369</v>
      </c>
      <c r="D73" s="17" t="s">
        <v>365</v>
      </c>
    </row>
    <row r="74" spans="1:8" x14ac:dyDescent="0.3">
      <c r="A74" s="19" t="s">
        <v>7</v>
      </c>
      <c r="B74" s="18" t="s">
        <v>370</v>
      </c>
      <c r="C74" s="18" t="s">
        <v>371</v>
      </c>
      <c r="D74" s="18" t="s">
        <v>365</v>
      </c>
    </row>
    <row r="75" spans="1:8" x14ac:dyDescent="0.3">
      <c r="A75" s="16" t="s">
        <v>8</v>
      </c>
      <c r="B75" s="17" t="s">
        <v>372</v>
      </c>
      <c r="C75" s="17" t="s">
        <v>373</v>
      </c>
      <c r="D75" s="17" t="s">
        <v>374</v>
      </c>
    </row>
    <row r="76" spans="1:8" x14ac:dyDescent="0.3">
      <c r="A76" s="19" t="s">
        <v>9</v>
      </c>
      <c r="B76" s="18" t="s">
        <v>375</v>
      </c>
      <c r="C76" s="18" t="s">
        <v>376</v>
      </c>
      <c r="D76" s="18" t="s">
        <v>374</v>
      </c>
    </row>
    <row r="77" spans="1:8" x14ac:dyDescent="0.3">
      <c r="A77" s="16" t="s">
        <v>10</v>
      </c>
      <c r="B77" s="17" t="s">
        <v>377</v>
      </c>
      <c r="C77" s="17" t="s">
        <v>378</v>
      </c>
      <c r="D77" s="17" t="s">
        <v>374</v>
      </c>
    </row>
    <row r="78" spans="1:8" x14ac:dyDescent="0.3">
      <c r="A78" s="19" t="s">
        <v>11</v>
      </c>
      <c r="B78" s="18" t="s">
        <v>379</v>
      </c>
      <c r="C78" s="18" t="s">
        <v>380</v>
      </c>
      <c r="D78" s="18" t="s">
        <v>381</v>
      </c>
    </row>
    <row r="79" spans="1:8" x14ac:dyDescent="0.3">
      <c r="A79" s="16" t="s">
        <v>12</v>
      </c>
      <c r="B79" s="17" t="s">
        <v>382</v>
      </c>
      <c r="C79" s="17" t="s">
        <v>383</v>
      </c>
      <c r="D79" s="17" t="s">
        <v>365</v>
      </c>
    </row>
    <row r="81" spans="1:8" ht="22.05" customHeight="1" x14ac:dyDescent="0.3">
      <c r="A81" s="23" t="s">
        <v>384</v>
      </c>
      <c r="B81" s="23"/>
      <c r="C81" s="23"/>
      <c r="D81" s="23"/>
      <c r="E81" s="23"/>
      <c r="F81" s="23"/>
      <c r="G81" s="23"/>
      <c r="H81" s="23"/>
    </row>
    <row r="82" spans="1:8" ht="27.6" x14ac:dyDescent="0.3">
      <c r="A82" s="1" t="s">
        <v>385</v>
      </c>
      <c r="B82" s="1" t="s">
        <v>63</v>
      </c>
      <c r="C82" s="1" t="s">
        <v>40</v>
      </c>
      <c r="D82" s="1" t="s">
        <v>41</v>
      </c>
      <c r="E82" s="1" t="s">
        <v>386</v>
      </c>
      <c r="F82" s="1" t="s">
        <v>387</v>
      </c>
      <c r="G82" s="1" t="s">
        <v>388</v>
      </c>
    </row>
    <row r="83" spans="1:8" x14ac:dyDescent="0.3">
      <c r="A83" s="16" t="s">
        <v>47</v>
      </c>
      <c r="B83" s="17" t="s">
        <v>389</v>
      </c>
      <c r="C83" s="17" t="s">
        <v>48</v>
      </c>
      <c r="D83" s="17" t="s">
        <v>49</v>
      </c>
      <c r="E83" s="17">
        <v>0.38600000000000001</v>
      </c>
      <c r="F83" s="17">
        <v>275</v>
      </c>
      <c r="G83" s="17">
        <v>0</v>
      </c>
    </row>
    <row r="84" spans="1:8" x14ac:dyDescent="0.3">
      <c r="A84" s="19" t="s">
        <v>50</v>
      </c>
      <c r="B84" s="18" t="s">
        <v>390</v>
      </c>
      <c r="C84" s="18" t="s">
        <v>48</v>
      </c>
      <c r="D84" s="18" t="s">
        <v>49</v>
      </c>
      <c r="E84" s="18">
        <v>0.32200000000000001</v>
      </c>
      <c r="F84" s="18">
        <v>275</v>
      </c>
      <c r="G84" s="18">
        <v>0</v>
      </c>
    </row>
    <row r="85" spans="1:8" x14ac:dyDescent="0.3">
      <c r="A85" s="16" t="s">
        <v>51</v>
      </c>
      <c r="B85" s="17" t="s">
        <v>391</v>
      </c>
      <c r="C85" s="17" t="s">
        <v>52</v>
      </c>
      <c r="D85" s="17" t="s">
        <v>49</v>
      </c>
      <c r="E85" s="17">
        <v>0.37</v>
      </c>
      <c r="F85" s="17">
        <v>350</v>
      </c>
      <c r="G85" s="17">
        <v>0</v>
      </c>
    </row>
    <row r="86" spans="1:8" x14ac:dyDescent="0.3">
      <c r="A86" s="19" t="s">
        <v>53</v>
      </c>
      <c r="B86" s="18" t="s">
        <v>392</v>
      </c>
      <c r="C86" s="18" t="s">
        <v>52</v>
      </c>
      <c r="D86" s="18" t="s">
        <v>49</v>
      </c>
      <c r="E86" s="18">
        <v>0.32200000000000001</v>
      </c>
      <c r="F86" s="18">
        <v>300</v>
      </c>
      <c r="G86" s="18">
        <v>0</v>
      </c>
    </row>
    <row r="87" spans="1:8" x14ac:dyDescent="0.3">
      <c r="A87" s="16" t="s">
        <v>54</v>
      </c>
      <c r="B87" s="17" t="s">
        <v>393</v>
      </c>
      <c r="C87" s="17" t="s">
        <v>48</v>
      </c>
      <c r="D87" s="17" t="s">
        <v>55</v>
      </c>
      <c r="E87" s="17">
        <v>0.32200000000000001</v>
      </c>
      <c r="F87" s="17">
        <v>200</v>
      </c>
      <c r="G87" s="17">
        <v>0.25</v>
      </c>
    </row>
    <row r="88" spans="1:8" x14ac:dyDescent="0.3">
      <c r="A88" s="19" t="s">
        <v>56</v>
      </c>
      <c r="B88" s="18" t="s">
        <v>394</v>
      </c>
      <c r="C88" s="18" t="s">
        <v>52</v>
      </c>
      <c r="D88" s="18" t="s">
        <v>55</v>
      </c>
      <c r="E88" s="18">
        <v>0.37</v>
      </c>
      <c r="F88" s="18">
        <v>200</v>
      </c>
      <c r="G88" s="18">
        <v>0.2</v>
      </c>
    </row>
    <row r="89" spans="1:8" x14ac:dyDescent="0.3">
      <c r="A89" s="16" t="s">
        <v>57</v>
      </c>
      <c r="B89" s="17" t="s">
        <v>395</v>
      </c>
      <c r="C89" s="17" t="s">
        <v>48</v>
      </c>
      <c r="D89" s="17" t="s">
        <v>58</v>
      </c>
      <c r="E89" s="17">
        <v>0.32200000000000001</v>
      </c>
      <c r="F89" s="17">
        <v>60</v>
      </c>
      <c r="G89" s="17">
        <v>0.3</v>
      </c>
    </row>
    <row r="90" spans="1:8" x14ac:dyDescent="0.3">
      <c r="A90" s="19" t="s">
        <v>59</v>
      </c>
      <c r="B90" s="18" t="s">
        <v>396</v>
      </c>
      <c r="C90" s="18" t="s">
        <v>52</v>
      </c>
      <c r="D90" s="18" t="s">
        <v>58</v>
      </c>
      <c r="E90" s="18">
        <v>0.37</v>
      </c>
      <c r="F90" s="18">
        <v>60</v>
      </c>
      <c r="G90" s="18">
        <v>0.3</v>
      </c>
    </row>
    <row r="91" spans="1:8" x14ac:dyDescent="0.3">
      <c r="A91" s="16" t="s">
        <v>60</v>
      </c>
      <c r="B91" s="17" t="s">
        <v>397</v>
      </c>
      <c r="C91" s="17" t="s">
        <v>61</v>
      </c>
      <c r="D91" s="17" t="s">
        <v>55</v>
      </c>
      <c r="E91" s="17">
        <v>0.37</v>
      </c>
      <c r="F91" s="17">
        <v>250</v>
      </c>
      <c r="G91" s="17">
        <v>1</v>
      </c>
    </row>
    <row r="93" spans="1:8" ht="22.05" customHeight="1" x14ac:dyDescent="0.3">
      <c r="A93" s="23" t="s">
        <v>398</v>
      </c>
      <c r="B93" s="23"/>
      <c r="C93" s="23"/>
      <c r="D93" s="23"/>
      <c r="E93" s="23"/>
      <c r="F93" s="23"/>
      <c r="G93" s="23"/>
      <c r="H93" s="23"/>
    </row>
    <row r="94" spans="1:8" ht="27.6" x14ac:dyDescent="0.3">
      <c r="A94" s="1" t="s">
        <v>344</v>
      </c>
      <c r="B94" s="1" t="s">
        <v>399</v>
      </c>
      <c r="C94" s="1" t="s">
        <v>400</v>
      </c>
    </row>
    <row r="95" spans="1:8" x14ac:dyDescent="0.3">
      <c r="A95" s="16" t="s">
        <v>401</v>
      </c>
      <c r="B95" s="17" t="s">
        <v>402</v>
      </c>
      <c r="C95" s="17">
        <v>0</v>
      </c>
    </row>
    <row r="96" spans="1:8" x14ac:dyDescent="0.3">
      <c r="A96" s="19" t="s">
        <v>403</v>
      </c>
      <c r="B96" s="18" t="s">
        <v>404</v>
      </c>
      <c r="C96" s="18">
        <v>0.17</v>
      </c>
    </row>
    <row r="97" spans="1:3" x14ac:dyDescent="0.3">
      <c r="A97" s="16" t="s">
        <v>405</v>
      </c>
      <c r="B97" s="17" t="s">
        <v>406</v>
      </c>
      <c r="C97" s="17">
        <v>0.36</v>
      </c>
    </row>
  </sheetData>
  <mergeCells count="8">
    <mergeCell ref="A69:H69"/>
    <mergeCell ref="A81:H81"/>
    <mergeCell ref="A93:H93"/>
    <mergeCell ref="A1:H1"/>
    <mergeCell ref="A32:H32"/>
    <mergeCell ref="A33:H33"/>
    <mergeCell ref="A39:H39"/>
    <mergeCell ref="A54:H54"/>
  </mergeCells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AA32E7549EE6449AC68337FF671C5A" ma:contentTypeVersion="12" ma:contentTypeDescription="Create a new document." ma:contentTypeScope="" ma:versionID="5b725368af9e92254b31af2044252fac">
  <xsd:schema xmlns:xsd="http://www.w3.org/2001/XMLSchema" xmlns:xs="http://www.w3.org/2001/XMLSchema" xmlns:p="http://schemas.microsoft.com/office/2006/metadata/properties" xmlns:ns2="03e19825-731a-404b-84c3-310fff85d1a8" xmlns:ns3="a675dd88-c1ff-478a-b60f-ff004313760b" targetNamespace="http://schemas.microsoft.com/office/2006/metadata/properties" ma:root="true" ma:fieldsID="de1faf0135fd982ba30b50c3b754e7cb" ns2:_="" ns3:_="">
    <xsd:import namespace="03e19825-731a-404b-84c3-310fff85d1a8"/>
    <xsd:import namespace="a675dd88-c1ff-478a-b60f-ff00431376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e19825-731a-404b-84c3-310fff85d1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5dd88-c1ff-478a-b60f-ff004313760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ee70d54-65c2-44e4-aa1e-ee2a67be174e}" ma:internalName="TaxCatchAll" ma:showField="CatchAllData" ma:web="a675dd88-c1ff-478a-b60f-ff00431376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e19825-731a-404b-84c3-310fff85d1a8">
      <Terms xmlns="http://schemas.microsoft.com/office/infopath/2007/PartnerControls"/>
    </lcf76f155ced4ddcb4097134ff3c332f>
    <TaxCatchAll xmlns="a675dd88-c1ff-478a-b60f-ff004313760b" xsi:nil="true"/>
  </documentManagement>
</p:properties>
</file>

<file path=customXml/itemProps1.xml><?xml version="1.0" encoding="utf-8"?>
<ds:datastoreItem xmlns:ds="http://schemas.openxmlformats.org/officeDocument/2006/customXml" ds:itemID="{6261231F-95A5-4DFB-928E-A0612F9C8DA1}"/>
</file>

<file path=customXml/itemProps2.xml><?xml version="1.0" encoding="utf-8"?>
<ds:datastoreItem xmlns:ds="http://schemas.openxmlformats.org/officeDocument/2006/customXml" ds:itemID="{71BB69E6-6954-4BE7-B508-D9438ED61E36}"/>
</file>

<file path=customXml/itemProps3.xml><?xml version="1.0" encoding="utf-8"?>
<ds:datastoreItem xmlns:ds="http://schemas.openxmlformats.org/officeDocument/2006/customXml" ds:itemID="{4B1071F3-C62E-48DA-8E3C-38E5F604E3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_Lists</vt:lpstr>
      <vt:lpstr>README</vt:lpstr>
      <vt:lpstr>Inventory_Metadata</vt:lpstr>
      <vt:lpstr>Parameters</vt:lpstr>
      <vt:lpstr>Manure_Management</vt:lpstr>
      <vt:lpstr>Parameter_TimeSeries</vt:lpstr>
      <vt:lpstr>Vocab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shiny</dc:creator>
  <cp:lastModifiedBy>Author</cp:lastModifiedBy>
  <dcterms:created xsi:type="dcterms:W3CDTF">2026-05-25T10:24:46Z</dcterms:created>
  <dcterms:modified xsi:type="dcterms:W3CDTF">2026-05-25T12:35:24Z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0x0101006AAA32E7549EE6449AC68337FF671C5A</vt:lpwstr>
  </property>
</Properties>
</file>