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.sharepoint.com/sites/Alliance-ClimateActionNetZero/Shared Documents/ClimateActionNetZero/1_Projects/D6xx _GMH_Emissions_Uncertainty/2_Technical_&amp;_Data/Initial info from Andy/"/>
    </mc:Choice>
  </mc:AlternateContent>
  <xr:revisionPtr revIDLastSave="1" documentId="13_ncr:1_{06AE3FD9-25FC-4379-BE41-867BC0A4CF09}" xr6:coauthVersionLast="47" xr6:coauthVersionMax="47" xr10:uidLastSave="{964EF2D8-CE5F-4EE6-A5FF-8BBD1C45F288}"/>
  <bookViews>
    <workbookView xWindow="-110" yWindow="-110" windowWidth="19420" windowHeight="11500" xr2:uid="{00000000-000D-0000-FFFF-FFFF00000000}"/>
  </bookViews>
  <sheets>
    <sheet name="UNC" sheetId="2" r:id="rId1"/>
    <sheet name="Non-dairy cattle popu" sheetId="3" r:id="rId2"/>
    <sheet name="Dairy cattle population" sheetId="4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4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4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"D9NYFKGE9AH36S515PPQ8LUE"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AV24" i="2"/>
  <c r="BB24" i="2" s="1"/>
  <c r="AW24" i="2"/>
  <c r="BC24" i="2" s="1"/>
  <c r="AY24" i="2"/>
  <c r="AZ24" i="2"/>
  <c r="AV25" i="2"/>
  <c r="AW25" i="2"/>
  <c r="BC25" i="2" s="1"/>
  <c r="AY25" i="2"/>
  <c r="AZ25" i="2"/>
  <c r="AV26" i="2"/>
  <c r="AW26" i="2"/>
  <c r="BC26" i="2" s="1"/>
  <c r="AY26" i="2"/>
  <c r="BB26" i="2" s="1"/>
  <c r="AZ26" i="2"/>
  <c r="AV27" i="2"/>
  <c r="AW27" i="2"/>
  <c r="BC27" i="2" s="1"/>
  <c r="AY27" i="2"/>
  <c r="BB27" i="2" s="1"/>
  <c r="AZ27" i="2"/>
  <c r="AZ23" i="2"/>
  <c r="BC23" i="2" s="1"/>
  <c r="AY23" i="2"/>
  <c r="BB23" i="2" s="1"/>
  <c r="AW23" i="2"/>
  <c r="AV23" i="2"/>
  <c r="AV21" i="2"/>
  <c r="AW21" i="2"/>
  <c r="BC21" i="2" s="1"/>
  <c r="AY21" i="2"/>
  <c r="BB21" i="2" s="1"/>
  <c r="AZ21" i="2"/>
  <c r="AZ20" i="2"/>
  <c r="AY20" i="2"/>
  <c r="BB20" i="2" s="1"/>
  <c r="AW20" i="2"/>
  <c r="AV20" i="2"/>
  <c r="AZ19" i="2"/>
  <c r="AY19" i="2"/>
  <c r="AW19" i="2"/>
  <c r="BC19" i="2" s="1"/>
  <c r="AV19" i="2"/>
  <c r="BB19" i="2" s="1"/>
  <c r="AZ18" i="2"/>
  <c r="BC18" i="2" s="1"/>
  <c r="AY18" i="2"/>
  <c r="BB18" i="2" s="1"/>
  <c r="AW18" i="2"/>
  <c r="AV18" i="2"/>
  <c r="AZ17" i="2"/>
  <c r="AY17" i="2"/>
  <c r="BB17" i="2" s="1"/>
  <c r="AW17" i="2"/>
  <c r="BC17" i="2" s="1"/>
  <c r="AV17" i="2"/>
  <c r="AZ16" i="2"/>
  <c r="AY16" i="2"/>
  <c r="BB16" i="2" s="1"/>
  <c r="AW16" i="2"/>
  <c r="AV16" i="2"/>
  <c r="AZ14" i="2"/>
  <c r="AY14" i="2"/>
  <c r="AW14" i="2"/>
  <c r="BC14" i="2" s="1"/>
  <c r="AV14" i="2"/>
  <c r="AZ13" i="2"/>
  <c r="AY13" i="2"/>
  <c r="BB13" i="2" s="1"/>
  <c r="AW13" i="2"/>
  <c r="AV13" i="2"/>
  <c r="AZ12" i="2"/>
  <c r="AY12" i="2"/>
  <c r="BB12" i="2" s="1"/>
  <c r="AW12" i="2"/>
  <c r="BC12" i="2" s="1"/>
  <c r="AV12" i="2"/>
  <c r="AZ11" i="2"/>
  <c r="AY11" i="2"/>
  <c r="BB11" i="2" s="1"/>
  <c r="AW11" i="2"/>
  <c r="BC11" i="2" s="1"/>
  <c r="AV11" i="2"/>
  <c r="AZ10" i="2"/>
  <c r="AY10" i="2"/>
  <c r="AW10" i="2"/>
  <c r="BC10" i="2" s="1"/>
  <c r="AV10" i="2"/>
  <c r="BB10" i="2" s="1"/>
  <c r="AY5" i="2"/>
  <c r="AZ5" i="2"/>
  <c r="AY6" i="2"/>
  <c r="AZ6" i="2"/>
  <c r="AY7" i="2"/>
  <c r="AZ7" i="2"/>
  <c r="AY8" i="2"/>
  <c r="BB8" i="2" s="1"/>
  <c r="AZ8" i="2"/>
  <c r="AZ4" i="2"/>
  <c r="AY4" i="2"/>
  <c r="AV5" i="2"/>
  <c r="AW5" i="2"/>
  <c r="AV6" i="2"/>
  <c r="AW6" i="2"/>
  <c r="BC6" i="2" s="1"/>
  <c r="AV7" i="2"/>
  <c r="BB7" i="2" s="1"/>
  <c r="AW7" i="2"/>
  <c r="BC7" i="2" s="1"/>
  <c r="AV8" i="2"/>
  <c r="AW8" i="2"/>
  <c r="BC8" i="2" s="1"/>
  <c r="AW4" i="2"/>
  <c r="AV4" i="2"/>
  <c r="Q7" i="2"/>
  <c r="Q8" i="2"/>
  <c r="Q6" i="2"/>
  <c r="P7" i="2"/>
  <c r="P8" i="2"/>
  <c r="P6" i="2"/>
  <c r="BC20" i="2"/>
  <c r="BC16" i="2"/>
  <c r="BB14" i="2"/>
  <c r="BC13" i="2"/>
  <c r="BC5" i="2"/>
  <c r="BC4" i="2"/>
  <c r="V24" i="2"/>
  <c r="U24" i="2"/>
  <c r="Y23" i="2"/>
  <c r="Y16" i="2"/>
  <c r="Y10" i="2"/>
  <c r="Y4" i="2"/>
  <c r="Q23" i="2"/>
  <c r="Q16" i="2"/>
  <c r="Q10" i="2"/>
  <c r="Q4" i="2"/>
  <c r="I27" i="2"/>
  <c r="I26" i="2"/>
  <c r="I25" i="2"/>
  <c r="I23" i="2"/>
  <c r="I21" i="2"/>
  <c r="I20" i="2"/>
  <c r="I19" i="2"/>
  <c r="I18" i="2"/>
  <c r="I17" i="2"/>
  <c r="I16" i="2"/>
  <c r="I14" i="2"/>
  <c r="I13" i="2"/>
  <c r="I12" i="2"/>
  <c r="I11" i="2"/>
  <c r="I10" i="2"/>
  <c r="I7" i="2"/>
  <c r="I8" i="2"/>
  <c r="I5" i="2"/>
  <c r="I4" i="2"/>
  <c r="E3" i="3"/>
  <c r="I4" i="3"/>
  <c r="I5" i="3"/>
  <c r="I6" i="3"/>
  <c r="I7" i="3"/>
  <c r="I8" i="3"/>
  <c r="I12" i="3"/>
  <c r="K12" i="3" s="1"/>
  <c r="I13" i="3"/>
  <c r="I14" i="3"/>
  <c r="I15" i="3"/>
  <c r="I16" i="3"/>
  <c r="I17" i="3"/>
  <c r="I3" i="3"/>
  <c r="D3" i="3"/>
  <c r="B10" i="4"/>
  <c r="B20" i="4" s="1"/>
  <c r="H10" i="4"/>
  <c r="H21" i="4" s="1"/>
  <c r="H22" i="4" s="1"/>
  <c r="H23" i="4" s="1"/>
  <c r="H24" i="4" s="1"/>
  <c r="G10" i="4"/>
  <c r="G20" i="4" s="1"/>
  <c r="F10" i="4"/>
  <c r="F21" i="4" s="1"/>
  <c r="F22" i="4" s="1"/>
  <c r="F23" i="4" s="1"/>
  <c r="F24" i="4" s="1"/>
  <c r="E10" i="4"/>
  <c r="E20" i="4" s="1"/>
  <c r="D10" i="4"/>
  <c r="D21" i="4" s="1"/>
  <c r="D22" i="4" s="1"/>
  <c r="D23" i="4" s="1"/>
  <c r="D24" i="4" s="1"/>
  <c r="C10" i="4"/>
  <c r="C20" i="4" s="1"/>
  <c r="D12" i="3"/>
  <c r="E12" i="3" s="1"/>
  <c r="F12" i="3" s="1"/>
  <c r="G12" i="3" s="1"/>
  <c r="D13" i="3"/>
  <c r="E13" i="3" s="1"/>
  <c r="F13" i="3" s="1"/>
  <c r="G13" i="3" s="1"/>
  <c r="D14" i="3"/>
  <c r="E14" i="3" s="1"/>
  <c r="F14" i="3" s="1"/>
  <c r="G14" i="3" s="1"/>
  <c r="D15" i="3"/>
  <c r="E15" i="3" s="1"/>
  <c r="F15" i="3" s="1"/>
  <c r="G15" i="3" s="1"/>
  <c r="D16" i="3"/>
  <c r="E16" i="3" s="1"/>
  <c r="F16" i="3" s="1"/>
  <c r="G16" i="3" s="1"/>
  <c r="D17" i="3"/>
  <c r="E17" i="3" s="1"/>
  <c r="F17" i="3" s="1"/>
  <c r="G17" i="3" s="1"/>
  <c r="D4" i="3"/>
  <c r="E4" i="3" s="1"/>
  <c r="F4" i="3" s="1"/>
  <c r="G4" i="3" s="1"/>
  <c r="D5" i="3"/>
  <c r="E5" i="3" s="1"/>
  <c r="F5" i="3" s="1"/>
  <c r="G5" i="3" s="1"/>
  <c r="D6" i="3"/>
  <c r="E6" i="3" s="1"/>
  <c r="F6" i="3" s="1"/>
  <c r="G6" i="3" s="1"/>
  <c r="D7" i="3"/>
  <c r="E7" i="3" s="1"/>
  <c r="F7" i="3" s="1"/>
  <c r="G7" i="3" s="1"/>
  <c r="D8" i="3"/>
  <c r="E8" i="3" s="1"/>
  <c r="F8" i="3" s="1"/>
  <c r="G8" i="3" s="1"/>
  <c r="F3" i="3"/>
  <c r="G3" i="3" s="1"/>
  <c r="AA4" i="2"/>
  <c r="AA10" i="2"/>
  <c r="K3" i="3" l="1"/>
  <c r="C21" i="4"/>
  <c r="C22" i="4" s="1"/>
  <c r="C23" i="4" s="1"/>
  <c r="C24" i="4" s="1"/>
  <c r="BB5" i="2"/>
  <c r="BB25" i="2"/>
  <c r="BB4" i="2"/>
  <c r="BB6" i="2"/>
  <c r="F20" i="4"/>
  <c r="G18" i="3"/>
  <c r="G9" i="3"/>
  <c r="H20" i="4"/>
  <c r="D20" i="4"/>
  <c r="G21" i="4"/>
  <c r="G22" i="4" s="1"/>
  <c r="G23" i="4" s="1"/>
  <c r="G24" i="4" s="1"/>
  <c r="E21" i="4"/>
  <c r="E22" i="4" s="1"/>
  <c r="E23" i="4" s="1"/>
  <c r="E24" i="4" s="1"/>
  <c r="B21" i="4"/>
  <c r="B22" i="4" s="1"/>
  <c r="B23" i="4" s="1"/>
  <c r="B24" i="4" s="1"/>
  <c r="I2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tc={7E34B209-D1DE-45DD-9463-DB4312907B4D}</author>
    <author>tc={F891DF46-CD9F-488D-BD52-8B45762E3B14}</author>
    <author>tc={91E4A8CC-C375-4B0E-9974-0441C47B7BBE}</author>
    <author>tc={74E5CF2B-C292-46BB-8992-A57B6809184A}</author>
    <author>Prof Jiri</author>
  </authors>
  <commentList>
    <comment ref="W4" authorId="0" shapeId="0" xr:uid="{7E34B209-D1DE-45DD-9463-DB4312907B4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value is before corrected by calving rate, lactation length, calf consumption (non-dairy cattle)</t>
      </text>
    </comment>
    <comment ref="W10" authorId="1" shapeId="0" xr:uid="{F891DF46-CD9F-488D-BD52-8B45762E3B1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value is before corrected by calving rate, lactation length, calf consumption (non-dairy cattle)</t>
      </text>
    </comment>
    <comment ref="W16" authorId="2" shapeId="0" xr:uid="{91E4A8CC-C375-4B0E-9974-0441C47B7BB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value is before corrected by calving rate, lactation length, calf consumption (non-dairy cattle)</t>
      </text>
    </comment>
    <comment ref="W23" authorId="3" shapeId="0" xr:uid="{74E5CF2B-C292-46BB-8992-A57B6809184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value is before corrected by calving rate, lactation length, calf consumption (non-dairy cattle)</t>
      </text>
    </comment>
    <comment ref="G24" authorId="4" shapeId="0" xr:uid="{78E04629-46FD-492B-944A-1602D3774BA9}">
      <text>
        <r>
          <rPr>
            <b/>
            <sz val="11"/>
            <color indexed="81"/>
            <rFont val="Tahoma"/>
            <family val="2"/>
          </rPr>
          <t>Prof Jiri:</t>
        </r>
        <r>
          <rPr>
            <sz val="11"/>
            <color indexed="81"/>
            <rFont val="Tahoma"/>
            <family val="2"/>
          </rPr>
          <t xml:space="preserve">
single value from expert judgement</t>
        </r>
      </text>
    </comment>
  </commentList>
</comments>
</file>

<file path=xl/sharedStrings.xml><?xml version="1.0" encoding="utf-8"?>
<sst xmlns="http://schemas.openxmlformats.org/spreadsheetml/2006/main" count="123" uniqueCount="50">
  <si>
    <t>Adult cows (&gt; 3 years)</t>
  </si>
  <si>
    <t>Adult males (&gt; 3 years)</t>
  </si>
  <si>
    <t>Heifers (1-3 year)</t>
  </si>
  <si>
    <t>Calves (&lt; 1 year)</t>
  </si>
  <si>
    <t>Population</t>
  </si>
  <si>
    <t>mean</t>
  </si>
  <si>
    <t>live weight</t>
  </si>
  <si>
    <t>weight gain</t>
  </si>
  <si>
    <t>% pregnant</t>
  </si>
  <si>
    <t>Work hours</t>
  </si>
  <si>
    <t>Milk fat content</t>
  </si>
  <si>
    <t>MoE</t>
  </si>
  <si>
    <t>min</t>
  </si>
  <si>
    <t>max</t>
  </si>
  <si>
    <t xml:space="preserve">min </t>
  </si>
  <si>
    <t>Growing males (1-3 year)</t>
  </si>
  <si>
    <t>Feedlot (1-3 year)</t>
  </si>
  <si>
    <t>Digestible energy (Highveld)</t>
  </si>
  <si>
    <t>Digestible energy (Lowveld)</t>
  </si>
  <si>
    <t>Diet CP% (Highveld)</t>
  </si>
  <si>
    <t>Diet CP% (Lowveld)</t>
  </si>
  <si>
    <t>Intensive dairy system</t>
  </si>
  <si>
    <t>Semi-intensive dairy system</t>
  </si>
  <si>
    <t>Ranching/Extensive beef system</t>
  </si>
  <si>
    <t>Agro-pastoral beef system</t>
  </si>
  <si>
    <t xml:space="preserve">Ranching/Extensive Population* </t>
  </si>
  <si>
    <t xml:space="preserve">Agro-pastoral Population^ </t>
  </si>
  <si>
    <t>Dept Veterinary Services</t>
  </si>
  <si>
    <t>Zimstat</t>
  </si>
  <si>
    <t>Agropastoral^</t>
  </si>
  <si>
    <t xml:space="preserve">year </t>
  </si>
  <si>
    <t>Ranching/Extensive ranching*</t>
  </si>
  <si>
    <t xml:space="preserve">Milk yield </t>
  </si>
  <si>
    <t>SD</t>
  </si>
  <si>
    <t>SE</t>
  </si>
  <si>
    <t>Cows in milk</t>
  </si>
  <si>
    <t>Dry cows</t>
  </si>
  <si>
    <t>heifers in calf</t>
  </si>
  <si>
    <t>other heifers</t>
  </si>
  <si>
    <t>working bulls</t>
  </si>
  <si>
    <t>other bulls</t>
  </si>
  <si>
    <t>Total dairy herd</t>
  </si>
  <si>
    <t>Source:Central Statistics Office ( Now ZIMSTAT)</t>
  </si>
  <si>
    <t>Intensive &amp; semi intensive dairy cattle</t>
  </si>
  <si>
    <t>Year</t>
  </si>
  <si>
    <t>Cattle under twelve months: Male</t>
  </si>
  <si>
    <t>Cattle under twelve months: Female</t>
  </si>
  <si>
    <t>Source: Dairy services</t>
  </si>
  <si>
    <t>av</t>
  </si>
  <si>
    <t>MOE%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</si>
</sst>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??_);_(@_)"/>
    <numFmt numFmtId="165" formatCode="0.0"/>
    <numFmt numFmtId="166" formatCode="0.000"/>
    <numFmt numFmtId="167" formatCode="_-* #,##0_-;\-* #,##0_-;_-* &quot;-&quot;??_-;_-@_-"/>
    <numFmt numFmtId="168" formatCode="0.0000"/>
    <numFmt numFmtId="169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1" fontId="2" fillId="2" borderId="0" xfId="0" applyNumberFormat="1" applyFont="1" applyFill="1"/>
    <xf numFmtId="2" fontId="3" fillId="0" borderId="0" xfId="0" applyNumberFormat="1" applyFont="1"/>
    <xf numFmtId="1" fontId="3" fillId="0" borderId="0" xfId="0" applyNumberFormat="1" applyFont="1"/>
    <xf numFmtId="0" fontId="3" fillId="0" borderId="0" xfId="0" applyFont="1"/>
    <xf numFmtId="0" fontId="3" fillId="2" borderId="0" xfId="0" applyFont="1" applyFill="1"/>
    <xf numFmtId="2" fontId="2" fillId="0" borderId="0" xfId="0" applyNumberFormat="1" applyFont="1"/>
    <xf numFmtId="165" fontId="2" fillId="0" borderId="0" xfId="0" applyNumberFormat="1" applyFont="1"/>
    <xf numFmtId="2" fontId="3" fillId="2" borderId="0" xfId="0" applyNumberFormat="1" applyFont="1" applyFill="1"/>
    <xf numFmtId="0" fontId="3" fillId="0" borderId="0" xfId="0" applyFont="1" applyAlignment="1">
      <alignment horizontal="right"/>
    </xf>
    <xf numFmtId="165" fontId="2" fillId="2" borderId="0" xfId="0" applyNumberFormat="1" applyFont="1" applyFill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4" fillId="0" borderId="0" xfId="0" applyFont="1" applyAlignment="1">
      <alignment vertical="center"/>
    </xf>
    <xf numFmtId="2" fontId="2" fillId="2" borderId="0" xfId="0" applyNumberFormat="1" applyFont="1" applyFill="1"/>
    <xf numFmtId="2" fontId="3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4" fontId="8" fillId="2" borderId="0" xfId="1" applyNumberFormat="1" applyFont="1" applyFill="1"/>
    <xf numFmtId="1" fontId="3" fillId="2" borderId="0" xfId="0" applyNumberFormat="1" applyFont="1" applyFill="1"/>
    <xf numFmtId="165" fontId="3" fillId="0" borderId="0" xfId="0" applyNumberFormat="1" applyFont="1"/>
    <xf numFmtId="9" fontId="3" fillId="0" borderId="0" xfId="2" applyFont="1" applyFill="1"/>
    <xf numFmtId="166" fontId="3" fillId="2" borderId="0" xfId="0" applyNumberFormat="1" applyFont="1" applyFill="1"/>
    <xf numFmtId="165" fontId="3" fillId="2" borderId="0" xfId="0" applyNumberFormat="1" applyFont="1" applyFill="1"/>
    <xf numFmtId="167" fontId="0" fillId="0" borderId="0" xfId="1" applyNumberFormat="1" applyFont="1"/>
    <xf numFmtId="0" fontId="0" fillId="0" borderId="0" xfId="0" applyAlignment="1">
      <alignment horizontal="right"/>
    </xf>
    <xf numFmtId="166" fontId="3" fillId="0" borderId="0" xfId="0" applyNumberFormat="1" applyFont="1"/>
    <xf numFmtId="168" fontId="3" fillId="0" borderId="0" xfId="0" applyNumberFormat="1" applyFont="1"/>
    <xf numFmtId="9" fontId="3" fillId="0" borderId="0" xfId="2" applyFont="1"/>
    <xf numFmtId="166" fontId="3" fillId="0" borderId="0" xfId="2" applyNumberFormat="1" applyFont="1"/>
    <xf numFmtId="9" fontId="0" fillId="0" borderId="0" xfId="2" applyFont="1"/>
    <xf numFmtId="0" fontId="0" fillId="3" borderId="1" xfId="0" applyFill="1" applyBorder="1"/>
    <xf numFmtId="0" fontId="0" fillId="3" borderId="0" xfId="0" applyFill="1"/>
    <xf numFmtId="0" fontId="10" fillId="0" borderId="0" xfId="0" applyFont="1"/>
    <xf numFmtId="0" fontId="11" fillId="0" borderId="0" xfId="0" applyFont="1"/>
    <xf numFmtId="0" fontId="11" fillId="0" borderId="1" xfId="0" applyFont="1" applyBorder="1"/>
    <xf numFmtId="0" fontId="12" fillId="0" borderId="1" xfId="0" applyFont="1" applyBorder="1"/>
    <xf numFmtId="3" fontId="12" fillId="0" borderId="0" xfId="0" applyNumberFormat="1" applyFont="1"/>
    <xf numFmtId="3" fontId="12" fillId="3" borderId="1" xfId="0" applyNumberFormat="1" applyFont="1" applyFill="1" applyBorder="1"/>
    <xf numFmtId="0" fontId="9" fillId="3" borderId="1" xfId="0" applyFont="1" applyFill="1" applyBorder="1"/>
    <xf numFmtId="167" fontId="0" fillId="3" borderId="1" xfId="1" applyNumberFormat="1" applyFont="1" applyFill="1" applyBorder="1"/>
    <xf numFmtId="43" fontId="0" fillId="0" borderId="0" xfId="0" applyNumberFormat="1"/>
    <xf numFmtId="9" fontId="0" fillId="0" borderId="0" xfId="0" applyNumberFormat="1"/>
    <xf numFmtId="10" fontId="0" fillId="0" borderId="0" xfId="2" applyNumberFormat="1" applyFont="1"/>
    <xf numFmtId="10" fontId="0" fillId="4" borderId="0" xfId="0" applyNumberFormat="1" applyFill="1"/>
    <xf numFmtId="169" fontId="0" fillId="4" borderId="0" xfId="2" applyNumberFormat="1" applyFont="1" applyFill="1"/>
    <xf numFmtId="169" fontId="3" fillId="0" borderId="0" xfId="2" applyNumberFormat="1" applyFont="1"/>
    <xf numFmtId="166" fontId="3" fillId="4" borderId="0" xfId="0" applyNumberFormat="1" applyFont="1" applyFill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mels Wassie" id="{718BEEF2-810D-44A3-8685-B160ABB4956C}" userId="S::shimels.wassie@unique-landuse.de::7f35b440-02e1-46d0-9ab4-c0cfdddda0e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4" dT="2023-07-21T17:51:07.86" personId="{718BEEF2-810D-44A3-8685-B160ABB4956C}" id="{7E34B209-D1DE-45DD-9463-DB4312907B4D}">
    <text>This value is before corrected by calving rate, lactation length, calf consumption (non-dairy cattle)</text>
  </threadedComment>
  <threadedComment ref="W10" dT="2023-07-21T17:51:18.95" personId="{718BEEF2-810D-44A3-8685-B160ABB4956C}" id="{F891DF46-CD9F-488D-BD52-8B45762E3B14}">
    <text>This value is before corrected by calving rate, lactation length, calf consumption (non-dairy cattle)</text>
  </threadedComment>
  <threadedComment ref="W16" dT="2023-07-21T17:51:22.81" personId="{718BEEF2-810D-44A3-8685-B160ABB4956C}" id="{91E4A8CC-C375-4B0E-9974-0441C47B7BBE}">
    <text>This value is before corrected by calving rate, lactation length, calf consumption (non-dairy cattle)</text>
  </threadedComment>
  <threadedComment ref="W23" dT="2023-07-21T17:51:28.44" personId="{718BEEF2-810D-44A3-8685-B160ABB4956C}" id="{74E5CF2B-C292-46BB-8992-A57B6809184A}">
    <text>This value is before corrected by calving rate, lactation length, calf consumption (non-dairy cattle)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44"/>
  <sheetViews>
    <sheetView tabSelected="1" zoomScale="85" zoomScaleNormal="85" workbookViewId="0">
      <pane xSplit="1" topLeftCell="T1" activePane="topRight" state="frozen"/>
      <selection pane="topRight" activeCell="K7" sqref="K7"/>
    </sheetView>
  </sheetViews>
  <sheetFormatPr defaultColWidth="8.7265625" defaultRowHeight="14.5" x14ac:dyDescent="0.35"/>
  <cols>
    <col min="1" max="1" width="27.1796875" style="4" customWidth="1"/>
    <col min="2" max="2" width="23.81640625" style="4" bestFit="1" customWidth="1"/>
    <col min="3" max="3" width="9.26953125" style="4" customWidth="1"/>
    <col min="4" max="4" width="10.1796875" style="4" customWidth="1"/>
    <col min="5" max="5" width="9.7265625" style="4" customWidth="1"/>
    <col min="6" max="6" width="8.7265625" style="4" customWidth="1"/>
    <col min="7" max="7" width="13.26953125" style="4" customWidth="1"/>
    <col min="8" max="8" width="5.81640625" style="4" customWidth="1"/>
    <col min="9" max="9" width="5.7265625" style="4" bestFit="1" customWidth="1"/>
    <col min="10" max="10" width="6" style="4" customWidth="1"/>
    <col min="11" max="11" width="9.1796875" style="4" bestFit="1" customWidth="1"/>
    <col min="12" max="12" width="8.7265625" style="4" bestFit="1" customWidth="1"/>
    <col min="13" max="13" width="8.81640625" style="4" bestFit="1" customWidth="1"/>
    <col min="14" max="14" width="6.7265625" style="4" bestFit="1" customWidth="1"/>
    <col min="15" max="15" width="8.7265625" style="4"/>
    <col min="16" max="16" width="6.7265625" style="4" bestFit="1" customWidth="1"/>
    <col min="17" max="17" width="7.7265625" style="4" bestFit="1" customWidth="1"/>
    <col min="18" max="18" width="7.1796875" style="4" customWidth="1"/>
    <col min="19" max="19" width="8.7265625" style="4"/>
    <col min="20" max="21" width="4.453125" style="4" bestFit="1" customWidth="1"/>
    <col min="22" max="22" width="6" style="4" customWidth="1"/>
    <col min="23" max="23" width="5.81640625" style="4" customWidth="1"/>
    <col min="24" max="24" width="6" style="4" customWidth="1"/>
    <col min="25" max="25" width="6.81640625" style="4" customWidth="1"/>
    <col min="26" max="26" width="5.81640625" style="4" customWidth="1"/>
    <col min="27" max="27" width="5.26953125" style="4" bestFit="1" customWidth="1"/>
    <col min="28" max="28" width="8.54296875" style="4" customWidth="1"/>
    <col min="29" max="29" width="7.453125" style="4" customWidth="1"/>
    <col min="30" max="30" width="7.1796875" style="4" customWidth="1"/>
    <col min="31" max="31" width="8.26953125" style="4" customWidth="1"/>
    <col min="32" max="32" width="7.54296875" style="4" customWidth="1"/>
    <col min="33" max="33" width="7.453125" style="4" customWidth="1"/>
    <col min="34" max="34" width="6.7265625" style="4" customWidth="1"/>
    <col min="35" max="35" width="7.453125" style="4" customWidth="1"/>
    <col min="36" max="36" width="6.26953125" style="4" customWidth="1"/>
    <col min="37" max="37" width="7.26953125" style="4" customWidth="1"/>
    <col min="38" max="38" width="7.7265625" style="4" bestFit="1" customWidth="1"/>
    <col min="39" max="39" width="9" style="4" bestFit="1" customWidth="1"/>
    <col min="40" max="40" width="8.81640625" style="4" bestFit="1" customWidth="1"/>
    <col min="41" max="41" width="5.81640625" style="4" customWidth="1"/>
    <col min="42" max="42" width="6" style="4" customWidth="1"/>
    <col min="43" max="43" width="7.7265625" style="4" customWidth="1"/>
    <col min="44" max="44" width="8.7265625" style="4"/>
    <col min="45" max="46" width="6" style="4" customWidth="1"/>
    <col min="47" max="16384" width="8.7265625" style="4"/>
  </cols>
  <sheetData>
    <row r="1" spans="1:59" s="11" customFormat="1" x14ac:dyDescent="0.35">
      <c r="C1" s="49" t="s">
        <v>4</v>
      </c>
      <c r="D1" s="49"/>
      <c r="E1" s="49"/>
      <c r="F1" s="49"/>
      <c r="G1" s="49" t="s">
        <v>6</v>
      </c>
      <c r="H1" s="49"/>
      <c r="I1" s="49"/>
      <c r="J1" s="49"/>
      <c r="K1" s="49" t="s">
        <v>7</v>
      </c>
      <c r="L1" s="49"/>
      <c r="M1" s="49"/>
      <c r="N1" s="49"/>
      <c r="O1" s="49" t="s">
        <v>8</v>
      </c>
      <c r="P1" s="49"/>
      <c r="Q1" s="49"/>
      <c r="R1" s="49"/>
      <c r="S1" s="49" t="s">
        <v>9</v>
      </c>
      <c r="T1" s="49"/>
      <c r="U1" s="49"/>
      <c r="V1" s="49"/>
      <c r="W1" s="49" t="s">
        <v>32</v>
      </c>
      <c r="X1" s="49"/>
      <c r="Y1" s="49"/>
      <c r="Z1" s="49"/>
      <c r="AA1" s="49" t="s">
        <v>10</v>
      </c>
      <c r="AB1" s="49"/>
      <c r="AC1" s="49"/>
      <c r="AD1" s="49"/>
      <c r="AE1" s="50" t="s">
        <v>17</v>
      </c>
      <c r="AF1" s="50"/>
      <c r="AG1" s="50"/>
      <c r="AH1" s="50"/>
      <c r="AI1" s="49" t="s">
        <v>18</v>
      </c>
      <c r="AJ1" s="49"/>
      <c r="AK1" s="49"/>
      <c r="AL1" s="49"/>
      <c r="AM1" s="49" t="s">
        <v>19</v>
      </c>
      <c r="AN1" s="49"/>
      <c r="AO1" s="49"/>
      <c r="AP1" s="49"/>
      <c r="AQ1" s="49" t="s">
        <v>20</v>
      </c>
      <c r="AR1" s="49"/>
      <c r="AS1" s="49"/>
      <c r="AT1" s="49"/>
      <c r="AY1" s="48"/>
      <c r="AZ1" s="48"/>
      <c r="BA1" s="48"/>
      <c r="BB1" s="48"/>
      <c r="BC1" s="48"/>
      <c r="BD1" s="48"/>
      <c r="BE1" s="48"/>
      <c r="BF1" s="48"/>
      <c r="BG1" s="48"/>
    </row>
    <row r="2" spans="1:59" s="12" customFormat="1" x14ac:dyDescent="0.35">
      <c r="C2" s="13" t="s">
        <v>5</v>
      </c>
      <c r="D2" s="12" t="s">
        <v>11</v>
      </c>
      <c r="E2" s="12" t="s">
        <v>12</v>
      </c>
      <c r="F2" s="12" t="s">
        <v>13</v>
      </c>
      <c r="G2" s="13" t="s">
        <v>5</v>
      </c>
      <c r="H2" s="12" t="s">
        <v>11</v>
      </c>
      <c r="I2" s="12" t="s">
        <v>49</v>
      </c>
      <c r="K2" s="13" t="s">
        <v>5</v>
      </c>
      <c r="L2" s="12" t="s">
        <v>11</v>
      </c>
      <c r="M2" s="12" t="s">
        <v>14</v>
      </c>
      <c r="N2" s="12" t="s">
        <v>13</v>
      </c>
      <c r="O2" s="13" t="s">
        <v>5</v>
      </c>
      <c r="P2" s="12" t="s">
        <v>11</v>
      </c>
      <c r="Q2" s="12" t="s">
        <v>12</v>
      </c>
      <c r="R2" s="12" t="s">
        <v>13</v>
      </c>
      <c r="S2" s="13" t="s">
        <v>5</v>
      </c>
      <c r="T2" s="12" t="s">
        <v>11</v>
      </c>
      <c r="U2" s="12" t="s">
        <v>12</v>
      </c>
      <c r="V2" s="12" t="s">
        <v>13</v>
      </c>
      <c r="W2" s="13" t="s">
        <v>5</v>
      </c>
      <c r="X2" s="12" t="s">
        <v>11</v>
      </c>
      <c r="Y2" s="12" t="s">
        <v>12</v>
      </c>
      <c r="Z2" s="12" t="s">
        <v>13</v>
      </c>
      <c r="AA2" s="13" t="s">
        <v>5</v>
      </c>
      <c r="AB2" s="12" t="s">
        <v>11</v>
      </c>
      <c r="AC2" s="12" t="s">
        <v>12</v>
      </c>
      <c r="AD2" s="12" t="s">
        <v>13</v>
      </c>
      <c r="AE2" s="13" t="s">
        <v>5</v>
      </c>
      <c r="AF2" s="12" t="s">
        <v>11</v>
      </c>
      <c r="AG2" s="12" t="s">
        <v>12</v>
      </c>
      <c r="AH2" s="12" t="s">
        <v>13</v>
      </c>
      <c r="AI2" s="13" t="s">
        <v>5</v>
      </c>
      <c r="AJ2" s="12" t="s">
        <v>11</v>
      </c>
      <c r="AK2" s="12" t="s">
        <v>12</v>
      </c>
      <c r="AL2" s="12" t="s">
        <v>13</v>
      </c>
      <c r="AM2" s="13" t="s">
        <v>5</v>
      </c>
      <c r="AN2" s="12" t="s">
        <v>11</v>
      </c>
      <c r="AO2" s="12" t="s">
        <v>12</v>
      </c>
      <c r="AP2" s="12" t="s">
        <v>13</v>
      </c>
      <c r="AQ2" s="13" t="s">
        <v>5</v>
      </c>
      <c r="AR2" s="12" t="s">
        <v>11</v>
      </c>
      <c r="AS2" s="12" t="s">
        <v>12</v>
      </c>
      <c r="AT2" s="12" t="s">
        <v>13</v>
      </c>
    </row>
    <row r="3" spans="1:59" x14ac:dyDescent="0.35">
      <c r="C3" s="5"/>
      <c r="G3" s="5"/>
      <c r="K3" s="5"/>
      <c r="O3" s="5"/>
      <c r="S3" s="5"/>
      <c r="W3" s="5"/>
      <c r="AA3" s="5"/>
      <c r="AE3" s="5"/>
      <c r="AI3" s="5"/>
      <c r="AM3" s="5"/>
      <c r="AQ3" s="5"/>
      <c r="BB3" s="12">
        <v>0.45</v>
      </c>
      <c r="BC3" s="12">
        <v>0.55000000000000004</v>
      </c>
    </row>
    <row r="4" spans="1:59" x14ac:dyDescent="0.35">
      <c r="A4" s="14" t="s">
        <v>21</v>
      </c>
      <c r="B4" s="9" t="s">
        <v>0</v>
      </c>
      <c r="C4" s="1"/>
      <c r="D4" s="3"/>
      <c r="E4" s="2"/>
      <c r="F4" s="3"/>
      <c r="G4" s="10">
        <v>539.28571428571433</v>
      </c>
      <c r="H4" s="16">
        <v>47.277413699924928</v>
      </c>
      <c r="I4" s="4">
        <f>H4/G4</f>
        <v>8.7666727390589269E-2</v>
      </c>
      <c r="K4" s="5">
        <v>0</v>
      </c>
      <c r="M4" s="4">
        <v>0</v>
      </c>
      <c r="N4" s="4">
        <v>0</v>
      </c>
      <c r="O4" s="5">
        <v>81.3</v>
      </c>
      <c r="P4" s="2">
        <v>3.6775376682584535</v>
      </c>
      <c r="Q4" s="4">
        <f>P4/O4</f>
        <v>4.5234165661235594E-2</v>
      </c>
      <c r="S4" s="15"/>
      <c r="T4" s="6"/>
      <c r="U4" s="6"/>
      <c r="W4" s="15">
        <v>22.05</v>
      </c>
      <c r="X4" s="6">
        <v>2.9761626193534174</v>
      </c>
      <c r="Y4" s="4">
        <f>X4/W4</f>
        <v>0.13497336142192368</v>
      </c>
      <c r="Z4" s="6"/>
      <c r="AA4" s="8">
        <f>(AVERAGE(AC4:AD4))</f>
        <v>3.8</v>
      </c>
      <c r="AC4" s="4">
        <v>3.6</v>
      </c>
      <c r="AD4" s="4">
        <v>4</v>
      </c>
      <c r="AE4" s="22">
        <v>0.74440418679549125</v>
      </c>
      <c r="AF4" s="2"/>
      <c r="AG4" s="26">
        <v>0.68200000000000005</v>
      </c>
      <c r="AH4" s="26">
        <v>0.81100000000000005</v>
      </c>
      <c r="AI4" s="22">
        <v>0.72772410091250683</v>
      </c>
      <c r="AJ4" s="26"/>
      <c r="AK4" s="26">
        <v>0.47699999999999998</v>
      </c>
      <c r="AL4" s="47">
        <v>0.75</v>
      </c>
      <c r="AM4" s="8">
        <v>14.146000000000001</v>
      </c>
      <c r="AN4" s="2"/>
      <c r="AO4" s="2">
        <v>10.826750000000001</v>
      </c>
      <c r="AP4" s="2">
        <v>15.2</v>
      </c>
      <c r="AQ4" s="8">
        <v>14.8</v>
      </c>
      <c r="AR4" s="2"/>
      <c r="AS4" s="2">
        <v>10.918499999999998</v>
      </c>
      <c r="AT4" s="2">
        <v>15.32</v>
      </c>
      <c r="AV4" s="46">
        <f>1-(AO4/AM4)</f>
        <v>0.23464230171073097</v>
      </c>
      <c r="AW4" s="46">
        <f>(AT4/AQ4)-1</f>
        <v>3.5135135135134998E-2</v>
      </c>
      <c r="AY4" s="46">
        <f>1-(AS4/AQ4)</f>
        <v>0.26226351351351362</v>
      </c>
      <c r="AZ4" s="46">
        <f>(AT4/AQ4)-1</f>
        <v>3.5135135135134998E-2</v>
      </c>
      <c r="BB4" s="46">
        <f>AV4*$BB$3+AY4*$BC$3</f>
        <v>0.24983396820226145</v>
      </c>
      <c r="BC4" s="46">
        <f>AW4*$BB$3+AZ4*$BC$3</f>
        <v>3.5135135135134998E-2</v>
      </c>
    </row>
    <row r="5" spans="1:59" x14ac:dyDescent="0.35">
      <c r="A5" s="14" t="s">
        <v>21</v>
      </c>
      <c r="B5" s="9" t="s">
        <v>1</v>
      </c>
      <c r="C5" s="1"/>
      <c r="D5" s="3"/>
      <c r="E5" s="2"/>
      <c r="F5" s="3"/>
      <c r="G5" s="10">
        <v>650</v>
      </c>
      <c r="H5" s="16">
        <v>81.992682600339393</v>
      </c>
      <c r="I5" s="4">
        <f>H5/G5</f>
        <v>0.12614258861590677</v>
      </c>
      <c r="K5" s="5">
        <v>0</v>
      </c>
      <c r="M5" s="4">
        <v>0</v>
      </c>
      <c r="N5" s="4">
        <v>0</v>
      </c>
      <c r="O5" s="5"/>
      <c r="S5" s="15"/>
      <c r="T5" s="6"/>
      <c r="U5" s="6"/>
      <c r="W5" s="5"/>
      <c r="AA5" s="8"/>
      <c r="AE5" s="22">
        <v>0.67473161567364481</v>
      </c>
      <c r="AF5" s="2"/>
      <c r="AG5" s="26">
        <v>0.629</v>
      </c>
      <c r="AH5" s="26">
        <v>0.73399999999999999</v>
      </c>
      <c r="AI5" s="22">
        <v>0.65293880837359108</v>
      </c>
      <c r="AJ5" s="26"/>
      <c r="AK5" s="26">
        <v>0.52200000000000002</v>
      </c>
      <c r="AL5" s="26">
        <v>0.72</v>
      </c>
      <c r="AM5" s="8">
        <v>10.701000000000001</v>
      </c>
      <c r="AN5" s="2"/>
      <c r="AO5" s="2">
        <v>10.301</v>
      </c>
      <c r="AP5" s="2">
        <v>14.259</v>
      </c>
      <c r="AQ5" s="8">
        <v>10.65</v>
      </c>
      <c r="AR5" s="2"/>
      <c r="AS5" s="2">
        <v>10.35</v>
      </c>
      <c r="AT5" s="2">
        <v>14.259</v>
      </c>
      <c r="AV5" s="46">
        <f t="shared" ref="AV5:AV8" si="0">1-(AO5/AM5)</f>
        <v>3.7379684141669034E-2</v>
      </c>
      <c r="AW5" s="46">
        <f t="shared" ref="AW5:AW8" si="1">(AT5/AQ5)-1</f>
        <v>0.33887323943661962</v>
      </c>
      <c r="AY5" s="46">
        <f t="shared" ref="AY5:AY8" si="2">1-(AS5/AQ5)</f>
        <v>2.8169014084507116E-2</v>
      </c>
      <c r="AZ5" s="46">
        <f t="shared" ref="AZ5:AZ8" si="3">(AT5/AQ5)-1</f>
        <v>0.33887323943661962</v>
      </c>
      <c r="BB5" s="46">
        <f>AV5*$BB$3+AY5*$BC$3</f>
        <v>3.231381561022998E-2</v>
      </c>
      <c r="BC5" s="46">
        <f t="shared" ref="BC5:BC8" si="4">AW5*$BB$3+AZ5*$BC$3</f>
        <v>0.33887323943661962</v>
      </c>
    </row>
    <row r="6" spans="1:59" x14ac:dyDescent="0.35">
      <c r="A6" s="14" t="s">
        <v>21</v>
      </c>
      <c r="B6" s="9" t="s">
        <v>2</v>
      </c>
      <c r="C6" s="1"/>
      <c r="D6" s="3"/>
      <c r="E6" s="2"/>
      <c r="F6" s="3"/>
      <c r="G6" s="10">
        <v>404.29411764705884</v>
      </c>
      <c r="H6" s="16">
        <v>33.97305074853643</v>
      </c>
      <c r="I6" s="4">
        <f>H6/G6</f>
        <v>8.4030534370015897E-2</v>
      </c>
      <c r="K6" s="22">
        <v>0.5</v>
      </c>
      <c r="M6" s="26">
        <v>0.42012779012093632</v>
      </c>
      <c r="N6" s="26">
        <v>1.0081272150798453</v>
      </c>
      <c r="O6" s="5"/>
      <c r="P6" s="2">
        <f>1-(M6/K6)</f>
        <v>0.15974441975812737</v>
      </c>
      <c r="Q6" s="2">
        <f>(N6/K6)-1</f>
        <v>1.0162544301596905</v>
      </c>
      <c r="S6" s="5"/>
      <c r="W6" s="5"/>
      <c r="AA6" s="8"/>
      <c r="AE6" s="22">
        <v>0.67473161567364481</v>
      </c>
      <c r="AF6" s="2"/>
      <c r="AG6" s="26">
        <v>0.629</v>
      </c>
      <c r="AH6" s="26">
        <v>0.73399999999999999</v>
      </c>
      <c r="AI6" s="22">
        <v>0.65293880837359108</v>
      </c>
      <c r="AJ6" s="26"/>
      <c r="AK6" s="26">
        <v>0.47699999999999998</v>
      </c>
      <c r="AL6" s="26">
        <v>0.69</v>
      </c>
      <c r="AM6" s="8">
        <v>10.701000000000001</v>
      </c>
      <c r="AN6" s="2"/>
      <c r="AO6" s="2">
        <v>10.301</v>
      </c>
      <c r="AP6" s="2">
        <v>14.259</v>
      </c>
      <c r="AQ6" s="8">
        <v>10.85</v>
      </c>
      <c r="AR6" s="2"/>
      <c r="AS6" s="2">
        <v>10.45</v>
      </c>
      <c r="AT6" s="2">
        <v>14.259</v>
      </c>
      <c r="AV6" s="46">
        <f t="shared" si="0"/>
        <v>3.7379684141669034E-2</v>
      </c>
      <c r="AW6" s="46">
        <f t="shared" si="1"/>
        <v>0.31419354838709679</v>
      </c>
      <c r="AY6" s="46">
        <f t="shared" si="2"/>
        <v>3.6866359447004671E-2</v>
      </c>
      <c r="AZ6" s="46">
        <f t="shared" si="3"/>
        <v>0.31419354838709679</v>
      </c>
      <c r="BB6" s="46">
        <f t="shared" ref="BB6:BB8" si="5">AV6*$BB$3+AY6*$BC$3</f>
        <v>3.709735555960364E-2</v>
      </c>
      <c r="BC6" s="46">
        <f t="shared" si="4"/>
        <v>0.31419354838709679</v>
      </c>
    </row>
    <row r="7" spans="1:59" x14ac:dyDescent="0.35">
      <c r="A7" s="14" t="s">
        <v>21</v>
      </c>
      <c r="B7" s="9" t="s">
        <v>15</v>
      </c>
      <c r="C7" s="1"/>
      <c r="D7" s="3"/>
      <c r="E7" s="2"/>
      <c r="F7" s="3"/>
      <c r="G7" s="10">
        <v>417.4375</v>
      </c>
      <c r="H7" s="16">
        <v>32.675011934028255</v>
      </c>
      <c r="I7" s="4">
        <f t="shared" ref="I6:I8" si="6">H7/G7</f>
        <v>7.8275219485619413E-2</v>
      </c>
      <c r="K7" s="22">
        <v>0.51200000000000001</v>
      </c>
      <c r="M7" s="26">
        <v>0.43375476184149259</v>
      </c>
      <c r="N7" s="26">
        <v>1.0408261256819309</v>
      </c>
      <c r="O7" s="5"/>
      <c r="P7" s="2">
        <f t="shared" ref="P7:P8" si="7">1-(M7/K7)</f>
        <v>0.15282273077833486</v>
      </c>
      <c r="Q7" s="2">
        <f t="shared" ref="Q7:Q8" si="8">(N7/K7)-1</f>
        <v>1.032863526722521</v>
      </c>
      <c r="S7" s="5"/>
      <c r="W7" s="5"/>
      <c r="AA7" s="8"/>
      <c r="AE7" s="22">
        <v>0.67473161567364481</v>
      </c>
      <c r="AF7" s="2"/>
      <c r="AG7" s="26">
        <v>0.629</v>
      </c>
      <c r="AH7" s="26">
        <v>0.73399999999999999</v>
      </c>
      <c r="AI7" s="22">
        <v>0.65293880837359108</v>
      </c>
      <c r="AJ7" s="26"/>
      <c r="AK7" s="26">
        <v>0.47699999999999998</v>
      </c>
      <c r="AL7" s="26">
        <v>0.69</v>
      </c>
      <c r="AM7" s="8">
        <v>10.701000000000001</v>
      </c>
      <c r="AN7" s="2"/>
      <c r="AO7" s="2">
        <v>10.301</v>
      </c>
      <c r="AP7" s="2">
        <v>14.259</v>
      </c>
      <c r="AQ7" s="8">
        <v>10.85</v>
      </c>
      <c r="AR7" s="2"/>
      <c r="AS7" s="2">
        <v>10.45</v>
      </c>
      <c r="AT7" s="2">
        <v>14.259</v>
      </c>
      <c r="AV7" s="46">
        <f t="shared" si="0"/>
        <v>3.7379684141669034E-2</v>
      </c>
      <c r="AW7" s="46">
        <f t="shared" si="1"/>
        <v>0.31419354838709679</v>
      </c>
      <c r="AY7" s="46">
        <f t="shared" si="2"/>
        <v>3.6866359447004671E-2</v>
      </c>
      <c r="AZ7" s="46">
        <f t="shared" si="3"/>
        <v>0.31419354838709679</v>
      </c>
      <c r="BB7" s="46">
        <f t="shared" si="5"/>
        <v>3.709735555960364E-2</v>
      </c>
      <c r="BC7" s="46">
        <f t="shared" si="4"/>
        <v>0.31419354838709679</v>
      </c>
    </row>
    <row r="8" spans="1:59" x14ac:dyDescent="0.35">
      <c r="A8" s="14" t="s">
        <v>21</v>
      </c>
      <c r="B8" s="9" t="s">
        <v>3</v>
      </c>
      <c r="C8" s="1"/>
      <c r="D8" s="3"/>
      <c r="E8" s="2"/>
      <c r="F8" s="3"/>
      <c r="G8" s="23">
        <v>198.92499999999998</v>
      </c>
      <c r="H8" s="16">
        <v>16.980562699924391</v>
      </c>
      <c r="I8" s="4">
        <f t="shared" si="6"/>
        <v>8.5361632273089821E-2</v>
      </c>
      <c r="K8" s="22">
        <v>0.65600000000000003</v>
      </c>
      <c r="M8" s="26">
        <v>0.42046808184686624</v>
      </c>
      <c r="N8" s="26">
        <v>0.80448782144274245</v>
      </c>
      <c r="O8" s="5"/>
      <c r="P8" s="2">
        <f t="shared" si="7"/>
        <v>0.35904255816026487</v>
      </c>
      <c r="Q8" s="2">
        <f t="shared" si="8"/>
        <v>0.22635338634564395</v>
      </c>
      <c r="S8" s="5"/>
      <c r="W8" s="5"/>
      <c r="AA8" s="8"/>
      <c r="AE8" s="22">
        <v>0.67397678475577039</v>
      </c>
      <c r="AF8" s="2"/>
      <c r="AG8" s="26">
        <v>0.629</v>
      </c>
      <c r="AH8" s="26">
        <v>0.73399999999999999</v>
      </c>
      <c r="AI8" s="22">
        <v>0.65193236714975855</v>
      </c>
      <c r="AJ8" s="26"/>
      <c r="AK8" s="26">
        <v>0.47699999999999998</v>
      </c>
      <c r="AL8" s="26">
        <v>0.69</v>
      </c>
      <c r="AM8" s="8">
        <v>11.3</v>
      </c>
      <c r="AN8" s="2"/>
      <c r="AO8" s="2">
        <v>10.826750000000001</v>
      </c>
      <c r="AP8" s="2">
        <v>14.259</v>
      </c>
      <c r="AQ8" s="8">
        <v>11.65</v>
      </c>
      <c r="AR8" s="2"/>
      <c r="AS8" s="2">
        <v>11.25</v>
      </c>
      <c r="AT8" s="2">
        <v>14.259</v>
      </c>
      <c r="AV8" s="46">
        <f t="shared" si="0"/>
        <v>4.1880530973451346E-2</v>
      </c>
      <c r="AW8" s="46">
        <f t="shared" si="1"/>
        <v>0.22394849785407733</v>
      </c>
      <c r="AY8" s="46">
        <f t="shared" si="2"/>
        <v>3.4334763948497882E-2</v>
      </c>
      <c r="AZ8" s="46">
        <f t="shared" si="3"/>
        <v>0.22394849785407733</v>
      </c>
      <c r="BB8" s="46">
        <f t="shared" si="5"/>
        <v>3.7730359109726941E-2</v>
      </c>
      <c r="BC8" s="46">
        <f t="shared" si="4"/>
        <v>0.22394849785407733</v>
      </c>
    </row>
    <row r="9" spans="1:59" x14ac:dyDescent="0.35">
      <c r="B9" s="11"/>
      <c r="C9" s="1"/>
      <c r="D9" s="2"/>
      <c r="E9" s="2"/>
      <c r="G9" s="5"/>
      <c r="H9" s="16"/>
      <c r="K9" s="5"/>
      <c r="O9" s="5"/>
      <c r="S9" s="5"/>
      <c r="W9" s="5"/>
      <c r="AA9" s="8"/>
      <c r="AE9" s="8"/>
      <c r="AF9" s="2"/>
      <c r="AG9" s="26"/>
      <c r="AH9" s="26"/>
      <c r="AI9" s="22"/>
      <c r="AJ9" s="26"/>
      <c r="AK9" s="26"/>
      <c r="AL9" s="26"/>
      <c r="AM9" s="8"/>
      <c r="AN9" s="2"/>
      <c r="AO9" s="2"/>
      <c r="AP9" s="2"/>
      <c r="AQ9" s="8"/>
      <c r="AR9" s="2"/>
      <c r="AS9" s="2"/>
      <c r="AT9" s="2"/>
    </row>
    <row r="10" spans="1:59" x14ac:dyDescent="0.35">
      <c r="A10" s="14" t="s">
        <v>22</v>
      </c>
      <c r="B10" s="9" t="s">
        <v>0</v>
      </c>
      <c r="C10" s="1"/>
      <c r="D10" s="3"/>
      <c r="E10" s="2"/>
      <c r="F10" s="3"/>
      <c r="G10" s="10">
        <v>454.71428571428572</v>
      </c>
      <c r="H10" s="16">
        <v>37.125402624079349</v>
      </c>
      <c r="I10" s="4">
        <f>H10/G10</f>
        <v>8.1645560279156593E-2</v>
      </c>
      <c r="K10" s="8">
        <v>0</v>
      </c>
      <c r="M10" s="4">
        <v>0</v>
      </c>
      <c r="N10" s="4">
        <v>0</v>
      </c>
      <c r="O10" s="23">
        <v>63.228958664601407</v>
      </c>
      <c r="P10" s="6">
        <v>10.104550363666243</v>
      </c>
      <c r="Q10" s="4">
        <f>P10/O10</f>
        <v>0.15980890049551383</v>
      </c>
      <c r="R10" s="7"/>
      <c r="S10" s="15"/>
      <c r="T10" s="6"/>
      <c r="U10" s="6"/>
      <c r="V10" s="2"/>
      <c r="W10" s="15">
        <v>7.6</v>
      </c>
      <c r="X10" s="6">
        <v>1.8791416519948549</v>
      </c>
      <c r="Y10" s="4">
        <f>X10/W10</f>
        <v>0.24725548052563881</v>
      </c>
      <c r="Z10" s="6"/>
      <c r="AA10" s="8">
        <f t="shared" ref="AA10" si="9">(AVERAGE(AC10:AD10))</f>
        <v>3.8</v>
      </c>
      <c r="AC10" s="4">
        <v>3.6</v>
      </c>
      <c r="AD10" s="4">
        <v>4</v>
      </c>
      <c r="AE10" s="22">
        <v>0.69507179280730014</v>
      </c>
      <c r="AF10" s="2"/>
      <c r="AG10" s="26">
        <v>0.63218766774020396</v>
      </c>
      <c r="AH10" s="26">
        <v>0.75440016103059604</v>
      </c>
      <c r="AI10" s="22">
        <v>0.69861782071926992</v>
      </c>
      <c r="AJ10" s="26"/>
      <c r="AK10" s="26">
        <v>0.60699999999999998</v>
      </c>
      <c r="AL10" s="26">
        <v>0.76400000000000001</v>
      </c>
      <c r="AM10" s="8">
        <v>12.48</v>
      </c>
      <c r="AN10" s="2"/>
      <c r="AO10" s="2">
        <v>8.3405749999999994</v>
      </c>
      <c r="AP10" s="2">
        <v>13.3</v>
      </c>
      <c r="AQ10" s="8">
        <v>12.175600000000001</v>
      </c>
      <c r="AR10" s="2"/>
      <c r="AS10" s="2">
        <v>11.778</v>
      </c>
      <c r="AT10" s="2">
        <v>13.3</v>
      </c>
      <c r="AV10" s="46">
        <f>1-(AO10/AM10)</f>
        <v>0.33168469551282054</v>
      </c>
      <c r="AW10" s="46">
        <f>(AT10/AQ10)-1</f>
        <v>9.2348631689608718E-2</v>
      </c>
      <c r="AY10" s="46">
        <f>1-(AS10/AQ10)</f>
        <v>3.2655474884194624E-2</v>
      </c>
      <c r="AZ10" s="46">
        <f>(AT10/AQ10)-1</f>
        <v>9.2348631689608718E-2</v>
      </c>
      <c r="BB10" s="46">
        <f>AV10*$BB$3+AY10*$BC$3</f>
        <v>0.16721862416707628</v>
      </c>
      <c r="BC10" s="46">
        <f>AW10*$BB$3+AZ10*$BC$3</f>
        <v>9.2348631689608718E-2</v>
      </c>
    </row>
    <row r="11" spans="1:59" x14ac:dyDescent="0.35">
      <c r="A11" s="14" t="s">
        <v>22</v>
      </c>
      <c r="B11" s="9" t="s">
        <v>1</v>
      </c>
      <c r="C11" s="1"/>
      <c r="D11" s="3"/>
      <c r="E11" s="2"/>
      <c r="F11" s="3"/>
      <c r="G11" s="10">
        <v>485.33333333333331</v>
      </c>
      <c r="H11" s="16">
        <v>45.710418501649663</v>
      </c>
      <c r="I11" s="4">
        <f>H11/G11</f>
        <v>9.418355460504739E-2</v>
      </c>
      <c r="K11" s="8">
        <v>0</v>
      </c>
      <c r="M11" s="4">
        <v>0</v>
      </c>
      <c r="N11" s="4">
        <v>0</v>
      </c>
      <c r="O11" s="5"/>
      <c r="S11" s="15"/>
      <c r="T11" s="6"/>
      <c r="U11" s="6"/>
      <c r="W11" s="5"/>
      <c r="AA11" s="5"/>
      <c r="AE11" s="22">
        <v>0.63624865807836828</v>
      </c>
      <c r="AF11" s="2"/>
      <c r="AG11" s="26">
        <v>0.63218766774020396</v>
      </c>
      <c r="AH11" s="26">
        <v>0.73440016103059591</v>
      </c>
      <c r="AI11" s="22">
        <v>0.60949409554482015</v>
      </c>
      <c r="AJ11" s="26"/>
      <c r="AK11" s="26">
        <v>0.50660393183038122</v>
      </c>
      <c r="AL11" s="26">
        <v>0.66359702093397743</v>
      </c>
      <c r="AM11" s="8">
        <v>10.199999999999999</v>
      </c>
      <c r="AN11" s="2"/>
      <c r="AO11" s="2">
        <v>8.3405749999999994</v>
      </c>
      <c r="AP11" s="2">
        <v>11.02505</v>
      </c>
      <c r="AQ11" s="8">
        <v>10.0037</v>
      </c>
      <c r="AR11" s="2"/>
      <c r="AS11" s="2">
        <v>9.4147749999999988</v>
      </c>
      <c r="AT11" s="2">
        <v>11.02505</v>
      </c>
      <c r="AV11" s="46">
        <f t="shared" ref="AV11:AV14" si="10">1-(AO11/AM11)</f>
        <v>0.18229656862745103</v>
      </c>
      <c r="AW11" s="46">
        <f t="shared" ref="AW11:AW14" si="11">(AT11/AQ11)-1</f>
        <v>0.10209722402710986</v>
      </c>
      <c r="AY11" s="46">
        <f t="shared" ref="AY11:AY14" si="12">1-(AS11/AQ11)</f>
        <v>5.8870717834401454E-2</v>
      </c>
      <c r="AZ11" s="46">
        <f t="shared" ref="AZ11:AZ14" si="13">(AT11/AQ11)-1</f>
        <v>0.10209722402710986</v>
      </c>
      <c r="BB11" s="46">
        <f t="shared" ref="BB11:BB14" si="14">AV11*$BB$3+AY11*$BC$3</f>
        <v>0.11441235069127376</v>
      </c>
      <c r="BC11" s="46">
        <f t="shared" ref="BC11:BC14" si="15">AW11*$BB$3+AZ11*$BC$3</f>
        <v>0.10209722402710986</v>
      </c>
    </row>
    <row r="12" spans="1:59" x14ac:dyDescent="0.35">
      <c r="A12" s="14" t="s">
        <v>22</v>
      </c>
      <c r="B12" s="9" t="s">
        <v>2</v>
      </c>
      <c r="C12" s="1"/>
      <c r="D12" s="3"/>
      <c r="E12" s="2"/>
      <c r="F12" s="3"/>
      <c r="G12" s="10">
        <v>332.42857142857144</v>
      </c>
      <c r="H12" s="16">
        <v>41.18411991694537</v>
      </c>
      <c r="I12" s="4">
        <f t="shared" ref="I12:I14" si="16">H12/G12</f>
        <v>0.12388862888638487</v>
      </c>
      <c r="K12" s="22">
        <v>0.28679872758820141</v>
      </c>
      <c r="M12" s="26">
        <v>0.24098423126225493</v>
      </c>
      <c r="N12" s="26">
        <v>0.57825920506387329</v>
      </c>
      <c r="O12" s="5"/>
      <c r="S12" s="5"/>
      <c r="W12" s="5"/>
      <c r="AA12" s="5"/>
      <c r="AE12" s="22">
        <v>0.63624865807836828</v>
      </c>
      <c r="AF12" s="2"/>
      <c r="AG12" s="26">
        <v>0.63218766774020396</v>
      </c>
      <c r="AH12" s="26">
        <v>0.73440016103059591</v>
      </c>
      <c r="AI12" s="22">
        <v>0.60949409554482015</v>
      </c>
      <c r="AJ12" s="26"/>
      <c r="AK12" s="26">
        <v>0.50660393183038122</v>
      </c>
      <c r="AL12" s="26">
        <v>0.66359702093397743</v>
      </c>
      <c r="AM12" s="8">
        <v>10.199999999999999</v>
      </c>
      <c r="AN12" s="2"/>
      <c r="AO12" s="2">
        <v>8.3405749999999994</v>
      </c>
      <c r="AP12" s="2">
        <v>11.02505</v>
      </c>
      <c r="AQ12" s="8">
        <v>10.0037</v>
      </c>
      <c r="AR12" s="2"/>
      <c r="AS12" s="2">
        <v>9.4147749999999988</v>
      </c>
      <c r="AT12" s="2">
        <v>11.02505</v>
      </c>
      <c r="AV12" s="46">
        <f t="shared" si="10"/>
        <v>0.18229656862745103</v>
      </c>
      <c r="AW12" s="46">
        <f t="shared" si="11"/>
        <v>0.10209722402710986</v>
      </c>
      <c r="AY12" s="46">
        <f t="shared" si="12"/>
        <v>5.8870717834401454E-2</v>
      </c>
      <c r="AZ12" s="46">
        <f t="shared" si="13"/>
        <v>0.10209722402710986</v>
      </c>
      <c r="BB12" s="46">
        <f t="shared" si="14"/>
        <v>0.11441235069127376</v>
      </c>
      <c r="BC12" s="46">
        <f t="shared" si="15"/>
        <v>0.10209722402710986</v>
      </c>
    </row>
    <row r="13" spans="1:59" x14ac:dyDescent="0.35">
      <c r="A13" s="14" t="s">
        <v>22</v>
      </c>
      <c r="B13" s="9" t="s">
        <v>15</v>
      </c>
      <c r="C13" s="1"/>
      <c r="D13" s="3"/>
      <c r="E13" s="2"/>
      <c r="F13" s="3"/>
      <c r="G13" s="10">
        <v>341.66666666666669</v>
      </c>
      <c r="H13" s="17">
        <v>41.626101640410468</v>
      </c>
      <c r="I13" s="4">
        <f t="shared" si="16"/>
        <v>0.12183249260607941</v>
      </c>
      <c r="K13" s="22">
        <v>0.30368121157594857</v>
      </c>
      <c r="M13" s="26">
        <v>0.25727181953683886</v>
      </c>
      <c r="N13" s="26">
        <v>0.6173424587636509</v>
      </c>
      <c r="O13" s="5"/>
      <c r="S13" s="5"/>
      <c r="W13" s="5"/>
      <c r="AA13" s="5"/>
      <c r="AE13" s="22">
        <v>0.63624865807836828</v>
      </c>
      <c r="AF13" s="2"/>
      <c r="AG13" s="26">
        <v>0.63218766774020396</v>
      </c>
      <c r="AH13" s="26">
        <v>0.73440016103059591</v>
      </c>
      <c r="AI13" s="22">
        <v>0.60949409554482015</v>
      </c>
      <c r="AJ13" s="26"/>
      <c r="AK13" s="26">
        <v>0.50660393183038122</v>
      </c>
      <c r="AL13" s="26">
        <v>0.66359702093397743</v>
      </c>
      <c r="AM13" s="8">
        <v>10.199999999999999</v>
      </c>
      <c r="AN13" s="2"/>
      <c r="AO13" s="2">
        <v>8.3405749999999994</v>
      </c>
      <c r="AP13" s="2">
        <v>11.02505</v>
      </c>
      <c r="AQ13" s="8">
        <v>10.0037</v>
      </c>
      <c r="AR13" s="2"/>
      <c r="AS13" s="2">
        <v>9.4147749999999988</v>
      </c>
      <c r="AT13" s="2">
        <v>11.02505</v>
      </c>
      <c r="AV13" s="46">
        <f t="shared" si="10"/>
        <v>0.18229656862745103</v>
      </c>
      <c r="AW13" s="46">
        <f t="shared" si="11"/>
        <v>0.10209722402710986</v>
      </c>
      <c r="AY13" s="46">
        <f t="shared" si="12"/>
        <v>5.8870717834401454E-2</v>
      </c>
      <c r="AZ13" s="46">
        <f t="shared" si="13"/>
        <v>0.10209722402710986</v>
      </c>
      <c r="BB13" s="46">
        <f t="shared" si="14"/>
        <v>0.11441235069127376</v>
      </c>
      <c r="BC13" s="46">
        <f t="shared" si="15"/>
        <v>0.10209722402710986</v>
      </c>
    </row>
    <row r="14" spans="1:59" x14ac:dyDescent="0.35">
      <c r="A14" s="14" t="s">
        <v>22</v>
      </c>
      <c r="B14" s="9" t="s">
        <v>3</v>
      </c>
      <c r="C14" s="1"/>
      <c r="D14" s="3"/>
      <c r="E14" s="2"/>
      <c r="F14" s="3"/>
      <c r="G14" s="10">
        <v>175.49230769230766</v>
      </c>
      <c r="H14" s="16">
        <v>14.266434396531448</v>
      </c>
      <c r="I14" s="4">
        <f t="shared" si="16"/>
        <v>8.1293787654470442E-2</v>
      </c>
      <c r="K14" s="22">
        <v>0.79229192337029863</v>
      </c>
      <c r="M14" s="26">
        <v>0.50782540439371004</v>
      </c>
      <c r="N14" s="26">
        <v>0.97162988319946919</v>
      </c>
      <c r="O14" s="5"/>
      <c r="S14" s="5"/>
      <c r="W14" s="5"/>
      <c r="AA14" s="5"/>
      <c r="AE14" s="22">
        <v>0.63524221685453575</v>
      </c>
      <c r="AF14" s="2"/>
      <c r="AG14" s="26">
        <v>0.63218766774020396</v>
      </c>
      <c r="AH14" s="26">
        <v>0.73440016103059591</v>
      </c>
      <c r="AI14" s="22">
        <v>0.60848765432098773</v>
      </c>
      <c r="AJ14" s="26"/>
      <c r="AK14" s="26">
        <v>0.50660393183038122</v>
      </c>
      <c r="AL14" s="26">
        <v>0.66359702093397743</v>
      </c>
      <c r="AM14" s="8">
        <v>11</v>
      </c>
      <c r="AN14" s="2"/>
      <c r="AO14" s="2">
        <v>8.3405749999999994</v>
      </c>
      <c r="AP14" s="2">
        <v>11.02505</v>
      </c>
      <c r="AQ14" s="8">
        <v>10.803700000000001</v>
      </c>
      <c r="AR14" s="2"/>
      <c r="AS14" s="2">
        <v>9.4147749999999988</v>
      </c>
      <c r="AT14" s="2">
        <v>11.02505</v>
      </c>
      <c r="AV14" s="46">
        <f t="shared" si="10"/>
        <v>0.24176590909090911</v>
      </c>
      <c r="AW14" s="46">
        <f t="shared" si="11"/>
        <v>2.0488351213010292E-2</v>
      </c>
      <c r="AY14" s="46">
        <f t="shared" si="12"/>
        <v>0.12856012292085139</v>
      </c>
      <c r="AZ14" s="46">
        <f t="shared" si="13"/>
        <v>2.0488351213010292E-2</v>
      </c>
      <c r="BB14" s="46">
        <f t="shared" si="14"/>
        <v>0.17950272669737738</v>
      </c>
      <c r="BC14" s="46">
        <f t="shared" si="15"/>
        <v>2.0488351213010292E-2</v>
      </c>
    </row>
    <row r="15" spans="1:59" x14ac:dyDescent="0.35">
      <c r="A15" s="14"/>
      <c r="B15" s="9"/>
      <c r="C15" s="18"/>
      <c r="E15" s="2"/>
      <c r="G15" s="10"/>
      <c r="H15" s="7"/>
      <c r="K15" s="5"/>
      <c r="O15" s="5"/>
      <c r="S15" s="5"/>
      <c r="W15" s="5"/>
      <c r="AA15" s="5"/>
      <c r="AE15" s="22"/>
      <c r="AG15" s="26"/>
      <c r="AH15" s="26"/>
      <c r="AI15" s="22"/>
      <c r="AJ15" s="26"/>
      <c r="AK15" s="26"/>
      <c r="AL15" s="26"/>
      <c r="AM15" s="5"/>
      <c r="AQ15" s="5"/>
    </row>
    <row r="16" spans="1:59" x14ac:dyDescent="0.35">
      <c r="A16" s="14" t="s">
        <v>23</v>
      </c>
      <c r="B16" s="9" t="s">
        <v>0</v>
      </c>
      <c r="C16" s="19"/>
      <c r="E16" s="2"/>
      <c r="F16" s="3"/>
      <c r="G16" s="10">
        <v>434.33333333333331</v>
      </c>
      <c r="H16" s="20">
        <v>20.792781482470726</v>
      </c>
      <c r="I16" s="4">
        <f>H16/G16</f>
        <v>4.787286603792186E-2</v>
      </c>
      <c r="K16" s="5">
        <v>0</v>
      </c>
      <c r="M16" s="4">
        <v>0</v>
      </c>
      <c r="N16" s="4">
        <v>0</v>
      </c>
      <c r="O16" s="23">
        <v>65</v>
      </c>
      <c r="P16" s="6">
        <v>2.1323602989280315</v>
      </c>
      <c r="Q16" s="4">
        <f>P16/O16</f>
        <v>3.2805543060431257E-2</v>
      </c>
      <c r="S16" s="8">
        <v>5.0016171993911722E-2</v>
      </c>
      <c r="U16" s="6">
        <v>0.04</v>
      </c>
      <c r="V16" s="4">
        <v>0.06</v>
      </c>
      <c r="W16" s="5">
        <v>3.09</v>
      </c>
      <c r="X16" s="2">
        <v>0.21722719289567152</v>
      </c>
      <c r="Y16" s="4">
        <f>X16/W16</f>
        <v>7.0300062425783669E-2</v>
      </c>
      <c r="AA16" s="5">
        <v>3.45</v>
      </c>
      <c r="AC16" s="6">
        <v>3.4</v>
      </c>
      <c r="AD16" s="4">
        <v>3.6</v>
      </c>
      <c r="AE16" s="22">
        <v>0.53930152979066026</v>
      </c>
      <c r="AF16" s="2"/>
      <c r="AG16" s="26">
        <v>0.45</v>
      </c>
      <c r="AH16" s="26">
        <v>0.65</v>
      </c>
      <c r="AI16" s="22">
        <v>0.55641103059581321</v>
      </c>
      <c r="AJ16" s="26"/>
      <c r="AK16" s="26">
        <v>0.5</v>
      </c>
      <c r="AL16" s="26">
        <v>0.65</v>
      </c>
      <c r="AM16" s="8">
        <v>8.591549999999998</v>
      </c>
      <c r="AN16" s="2"/>
      <c r="AO16" s="2">
        <v>3</v>
      </c>
      <c r="AP16" s="2">
        <v>10</v>
      </c>
      <c r="AQ16" s="8">
        <v>8.6953499999999995</v>
      </c>
      <c r="AR16" s="2"/>
      <c r="AS16" s="2">
        <v>4</v>
      </c>
      <c r="AT16" s="2">
        <v>10</v>
      </c>
      <c r="AV16" s="46">
        <f>1-(AO16/AM16)</f>
        <v>0.65081970075248341</v>
      </c>
      <c r="AW16" s="46">
        <f>(AT16/AQ16)-1</f>
        <v>0.1500399638887453</v>
      </c>
      <c r="AY16" s="46">
        <f>1-(AS16/AQ16)</f>
        <v>0.53998401444450184</v>
      </c>
      <c r="AZ16" s="46">
        <f>(AT16/AQ16)-1</f>
        <v>0.1500399638887453</v>
      </c>
      <c r="BB16" s="46">
        <f>AV16*$BB$3+AY16*$BC$3</f>
        <v>0.58986007328309364</v>
      </c>
      <c r="BC16" s="46">
        <f>AW16*$BB$3+AZ16*$BC$3</f>
        <v>0.1500399638887453</v>
      </c>
    </row>
    <row r="17" spans="1:55" x14ac:dyDescent="0.35">
      <c r="A17" s="14" t="s">
        <v>23</v>
      </c>
      <c r="B17" s="9" t="s">
        <v>1</v>
      </c>
      <c r="C17" s="19"/>
      <c r="E17" s="2"/>
      <c r="F17" s="3"/>
      <c r="G17" s="10">
        <v>472.4</v>
      </c>
      <c r="H17" s="20">
        <v>32.134703262637636</v>
      </c>
      <c r="I17" s="4">
        <f>H17/G17</f>
        <v>6.8024350682975521E-2</v>
      </c>
      <c r="K17" s="5">
        <v>0</v>
      </c>
      <c r="M17" s="4">
        <v>0</v>
      </c>
      <c r="N17" s="4">
        <v>0</v>
      </c>
      <c r="O17" s="5"/>
      <c r="S17" s="8"/>
      <c r="W17" s="5"/>
      <c r="AA17" s="5"/>
      <c r="AE17" s="22">
        <v>0.53930152979066026</v>
      </c>
      <c r="AF17" s="2"/>
      <c r="AG17" s="26">
        <v>0.45</v>
      </c>
      <c r="AH17" s="26">
        <v>0.65</v>
      </c>
      <c r="AI17" s="22">
        <v>0.55641103059581321</v>
      </c>
      <c r="AJ17" s="26"/>
      <c r="AK17" s="26">
        <v>0.5</v>
      </c>
      <c r="AL17" s="26">
        <v>0.65</v>
      </c>
      <c r="AM17" s="8">
        <v>8.591549999999998</v>
      </c>
      <c r="AN17" s="2"/>
      <c r="AO17" s="2">
        <v>3</v>
      </c>
      <c r="AP17" s="2">
        <v>10</v>
      </c>
      <c r="AQ17" s="8">
        <v>8.6953499999999995</v>
      </c>
      <c r="AR17" s="2"/>
      <c r="AS17" s="2">
        <v>4</v>
      </c>
      <c r="AT17" s="2">
        <v>10</v>
      </c>
      <c r="AV17" s="46">
        <f t="shared" ref="AV17:AV20" si="17">1-(AO17/AM17)</f>
        <v>0.65081970075248341</v>
      </c>
      <c r="AW17" s="46">
        <f t="shared" ref="AW17:AW20" si="18">(AT17/AQ17)-1</f>
        <v>0.1500399638887453</v>
      </c>
      <c r="AY17" s="46">
        <f t="shared" ref="AY17:AY20" si="19">1-(AS17/AQ17)</f>
        <v>0.53998401444450184</v>
      </c>
      <c r="AZ17" s="46">
        <f t="shared" ref="AZ17:AZ20" si="20">(AT17/AQ17)-1</f>
        <v>0.1500399638887453</v>
      </c>
      <c r="BB17" s="46">
        <f t="shared" ref="BB17:BB20" si="21">AV17*$BB$3+AY17*$BC$3</f>
        <v>0.58986007328309364</v>
      </c>
      <c r="BC17" s="46">
        <f t="shared" ref="BC17:BC20" si="22">AW17*$BB$3+AZ17*$BC$3</f>
        <v>0.1500399638887453</v>
      </c>
    </row>
    <row r="18" spans="1:55" x14ac:dyDescent="0.35">
      <c r="A18" s="14" t="s">
        <v>23</v>
      </c>
      <c r="B18" s="9" t="s">
        <v>2</v>
      </c>
      <c r="C18" s="19"/>
      <c r="E18" s="2"/>
      <c r="F18" s="3"/>
      <c r="G18" s="10">
        <v>295.10000000000002</v>
      </c>
      <c r="H18" s="20">
        <v>20.792781482470726</v>
      </c>
      <c r="I18" s="4">
        <f t="shared" ref="I18:I20" si="23">H18/G18</f>
        <v>7.0460120238802867E-2</v>
      </c>
      <c r="K18" s="22">
        <v>0.22861160207733269</v>
      </c>
      <c r="M18" s="26">
        <v>0.14505008688387633</v>
      </c>
      <c r="N18" s="26">
        <v>0.53858608688387632</v>
      </c>
      <c r="O18" s="5"/>
      <c r="S18" s="8"/>
      <c r="W18" s="5"/>
      <c r="AA18" s="5"/>
      <c r="AE18" s="22">
        <v>0.53930152979066026</v>
      </c>
      <c r="AF18" s="2"/>
      <c r="AG18" s="26">
        <v>0.45</v>
      </c>
      <c r="AH18" s="26">
        <v>0.65</v>
      </c>
      <c r="AI18" s="22">
        <v>0.55641103059581321</v>
      </c>
      <c r="AJ18" s="26"/>
      <c r="AK18" s="26">
        <v>0.5</v>
      </c>
      <c r="AL18" s="26">
        <v>0.65</v>
      </c>
      <c r="AM18" s="8">
        <v>8.591549999999998</v>
      </c>
      <c r="AN18" s="2"/>
      <c r="AO18" s="2">
        <v>3</v>
      </c>
      <c r="AP18" s="2">
        <v>10</v>
      </c>
      <c r="AQ18" s="8">
        <v>8.6953499999999995</v>
      </c>
      <c r="AR18" s="2"/>
      <c r="AS18" s="2">
        <v>4</v>
      </c>
      <c r="AT18" s="2">
        <v>10</v>
      </c>
      <c r="AV18" s="46">
        <f t="shared" si="17"/>
        <v>0.65081970075248341</v>
      </c>
      <c r="AW18" s="46">
        <f t="shared" si="18"/>
        <v>0.1500399638887453</v>
      </c>
      <c r="AY18" s="46">
        <f t="shared" si="19"/>
        <v>0.53998401444450184</v>
      </c>
      <c r="AZ18" s="46">
        <f t="shared" si="20"/>
        <v>0.1500399638887453</v>
      </c>
      <c r="BB18" s="46">
        <f t="shared" si="21"/>
        <v>0.58986007328309364</v>
      </c>
      <c r="BC18" s="46">
        <f t="shared" si="22"/>
        <v>0.1500399638887453</v>
      </c>
    </row>
    <row r="19" spans="1:55" x14ac:dyDescent="0.35">
      <c r="A19" s="14" t="s">
        <v>23</v>
      </c>
      <c r="B19" s="9" t="s">
        <v>15</v>
      </c>
      <c r="C19" s="19"/>
      <c r="E19" s="2"/>
      <c r="F19" s="3"/>
      <c r="G19" s="10">
        <v>318.73333333333329</v>
      </c>
      <c r="H19" s="20">
        <v>20.188786991732091</v>
      </c>
      <c r="I19" s="4">
        <f t="shared" si="23"/>
        <v>6.3340682885584892E-2</v>
      </c>
      <c r="K19" s="22">
        <v>0.27180117322743003</v>
      </c>
      <c r="M19" s="26">
        <v>0.11927984544695069</v>
      </c>
      <c r="N19" s="26">
        <v>0.41042984544695071</v>
      </c>
      <c r="O19" s="5"/>
      <c r="S19" s="8">
        <v>0.15004851598173516</v>
      </c>
      <c r="U19" s="6">
        <v>0.04</v>
      </c>
      <c r="V19" s="4">
        <v>0.06</v>
      </c>
      <c r="W19" s="5"/>
      <c r="AA19" s="5"/>
      <c r="AE19" s="22">
        <v>0.53930152979066026</v>
      </c>
      <c r="AF19" s="2"/>
      <c r="AG19" s="26">
        <v>0.45</v>
      </c>
      <c r="AH19" s="26">
        <v>0.65</v>
      </c>
      <c r="AI19" s="22">
        <v>0.55641103059581321</v>
      </c>
      <c r="AJ19" s="26"/>
      <c r="AK19" s="26">
        <v>0.5</v>
      </c>
      <c r="AL19" s="26">
        <v>0.65</v>
      </c>
      <c r="AM19" s="8">
        <v>8.591549999999998</v>
      </c>
      <c r="AN19" s="2"/>
      <c r="AO19" s="2">
        <v>3</v>
      </c>
      <c r="AP19" s="2">
        <v>10</v>
      </c>
      <c r="AQ19" s="8">
        <v>8.6953499999999995</v>
      </c>
      <c r="AR19" s="2"/>
      <c r="AS19" s="2">
        <v>4</v>
      </c>
      <c r="AT19" s="2">
        <v>10</v>
      </c>
      <c r="AV19" s="46">
        <f t="shared" si="17"/>
        <v>0.65081970075248341</v>
      </c>
      <c r="AW19" s="46">
        <f t="shared" si="18"/>
        <v>0.1500399638887453</v>
      </c>
      <c r="AY19" s="46">
        <f t="shared" si="19"/>
        <v>0.53998401444450184</v>
      </c>
      <c r="AZ19" s="46">
        <f t="shared" si="20"/>
        <v>0.1500399638887453</v>
      </c>
      <c r="BB19" s="46">
        <f t="shared" si="21"/>
        <v>0.58986007328309364</v>
      </c>
      <c r="BC19" s="46">
        <f t="shared" si="22"/>
        <v>0.1500399638887453</v>
      </c>
    </row>
    <row r="20" spans="1:55" x14ac:dyDescent="0.35">
      <c r="A20" s="14" t="s">
        <v>23</v>
      </c>
      <c r="B20" s="9" t="s">
        <v>3</v>
      </c>
      <c r="C20" s="19"/>
      <c r="E20" s="2"/>
      <c r="F20" s="3"/>
      <c r="G20" s="10">
        <v>170.00373134328359</v>
      </c>
      <c r="H20" s="20">
        <v>6.9577634992547441</v>
      </c>
      <c r="I20" s="4">
        <f t="shared" si="23"/>
        <v>4.0927122271246709E-2</v>
      </c>
      <c r="K20" s="22">
        <v>0.74947221131186181</v>
      </c>
      <c r="M20" s="26">
        <v>0.65246866732621045</v>
      </c>
      <c r="N20" s="26">
        <v>0.96265466732621052</v>
      </c>
      <c r="O20" s="5"/>
      <c r="S20" s="8"/>
      <c r="W20" s="5"/>
      <c r="AA20" s="5"/>
      <c r="AE20" s="22">
        <v>0.53930152979066026</v>
      </c>
      <c r="AF20" s="2"/>
      <c r="AG20" s="26">
        <v>0.45</v>
      </c>
      <c r="AH20" s="26">
        <v>0.65</v>
      </c>
      <c r="AI20" s="22">
        <v>0.55641103059581321</v>
      </c>
      <c r="AJ20" s="26"/>
      <c r="AK20" s="26">
        <v>0.5</v>
      </c>
      <c r="AL20" s="26">
        <v>0.65</v>
      </c>
      <c r="AM20" s="8">
        <v>8.591549999999998</v>
      </c>
      <c r="AN20" s="2"/>
      <c r="AO20" s="2">
        <v>3</v>
      </c>
      <c r="AP20" s="2">
        <v>10</v>
      </c>
      <c r="AQ20" s="8">
        <v>8.6953499999999995</v>
      </c>
      <c r="AR20" s="2"/>
      <c r="AS20" s="2">
        <v>4</v>
      </c>
      <c r="AT20" s="2">
        <v>10</v>
      </c>
      <c r="AV20" s="46">
        <f t="shared" si="17"/>
        <v>0.65081970075248341</v>
      </c>
      <c r="AW20" s="46">
        <f t="shared" si="18"/>
        <v>0.1500399638887453</v>
      </c>
      <c r="AY20" s="46">
        <f t="shared" si="19"/>
        <v>0.53998401444450184</v>
      </c>
      <c r="AZ20" s="46">
        <f t="shared" si="20"/>
        <v>0.1500399638887453</v>
      </c>
      <c r="BB20" s="46">
        <f t="shared" si="21"/>
        <v>0.58986007328309364</v>
      </c>
      <c r="BC20" s="46">
        <f t="shared" si="22"/>
        <v>0.1500399638887453</v>
      </c>
    </row>
    <row r="21" spans="1:55" x14ac:dyDescent="0.35">
      <c r="A21" s="14" t="s">
        <v>23</v>
      </c>
      <c r="B21" s="9" t="s">
        <v>16</v>
      </c>
      <c r="C21" s="19"/>
      <c r="E21" s="2"/>
      <c r="F21" s="3"/>
      <c r="G21" s="10">
        <v>331.15620091324195</v>
      </c>
      <c r="H21" s="7">
        <v>38.281514599085547</v>
      </c>
      <c r="I21" s="4">
        <f>H21/G21</f>
        <v>0.11559957051540985</v>
      </c>
      <c r="K21" s="22">
        <v>0.632535616473897</v>
      </c>
      <c r="M21" s="26">
        <v>0.42981772340869578</v>
      </c>
      <c r="N21" s="26">
        <v>0.82981772340869586</v>
      </c>
      <c r="O21" s="5"/>
      <c r="S21" s="8"/>
      <c r="W21" s="5"/>
      <c r="AA21" s="5"/>
      <c r="AE21" s="22">
        <v>0.81481481481481488</v>
      </c>
      <c r="AG21" s="26">
        <v>0.75</v>
      </c>
      <c r="AH21" s="26">
        <v>0.85</v>
      </c>
      <c r="AI21" s="22">
        <v>0.81481481481481488</v>
      </c>
      <c r="AJ21" s="26"/>
      <c r="AK21" s="26">
        <v>0.75</v>
      </c>
      <c r="AL21" s="26">
        <v>0.85</v>
      </c>
      <c r="AM21" s="8">
        <v>13.384</v>
      </c>
      <c r="AO21" s="4">
        <v>11.5</v>
      </c>
      <c r="AP21" s="4">
        <v>14.5</v>
      </c>
      <c r="AQ21" s="8">
        <v>13.384</v>
      </c>
      <c r="AS21" s="4">
        <v>11.5</v>
      </c>
      <c r="AT21" s="4">
        <v>14.5</v>
      </c>
      <c r="AV21" s="46">
        <f>1-(AO21/AM21)</f>
        <v>0.14076509264793791</v>
      </c>
      <c r="AW21" s="46">
        <f>(AT21/AQ21)-1</f>
        <v>8.3383144052600056E-2</v>
      </c>
      <c r="AY21" s="46">
        <f>1-(AS21/AQ21)</f>
        <v>0.14076509264793791</v>
      </c>
      <c r="AZ21" s="46">
        <f>(AT21/AQ21)-1</f>
        <v>8.3383144052600056E-2</v>
      </c>
      <c r="BB21" s="46">
        <f t="shared" ref="BB21" si="24">AV21*$BB$3+AY21*$BC$3</f>
        <v>0.14076509264793791</v>
      </c>
      <c r="BC21" s="46">
        <f t="shared" ref="BC21" si="25">AW21*$BB$3+AZ21*$BC$3</f>
        <v>8.3383144052600056E-2</v>
      </c>
    </row>
    <row r="22" spans="1:55" x14ac:dyDescent="0.35">
      <c r="A22" s="14"/>
      <c r="B22" s="9" t="s">
        <v>25</v>
      </c>
      <c r="C22" s="5"/>
      <c r="D22" s="3"/>
      <c r="E22" s="2"/>
      <c r="G22" s="10"/>
      <c r="K22" s="5"/>
      <c r="O22" s="5"/>
      <c r="S22" s="8"/>
      <c r="W22" s="5"/>
      <c r="AA22" s="5"/>
      <c r="AE22" s="22"/>
      <c r="AG22" s="26"/>
      <c r="AH22" s="26"/>
      <c r="AI22" s="22"/>
      <c r="AJ22" s="26"/>
      <c r="AK22" s="26"/>
      <c r="AL22" s="26"/>
      <c r="AM22" s="5"/>
      <c r="AQ22" s="5"/>
    </row>
    <row r="23" spans="1:55" x14ac:dyDescent="0.35">
      <c r="A23" s="14" t="s">
        <v>24</v>
      </c>
      <c r="B23" s="9" t="s">
        <v>0</v>
      </c>
      <c r="C23" s="19"/>
      <c r="D23" s="3"/>
      <c r="E23" s="2"/>
      <c r="F23" s="3"/>
      <c r="G23" s="10">
        <v>374.24285714285713</v>
      </c>
      <c r="H23" s="2">
        <v>23.437873282360751</v>
      </c>
      <c r="I23" s="4">
        <f>H23/G23</f>
        <v>6.2627443209728309E-2</v>
      </c>
      <c r="K23" s="5">
        <v>0</v>
      </c>
      <c r="M23" s="3">
        <v>0</v>
      </c>
      <c r="N23" s="3">
        <v>0</v>
      </c>
      <c r="O23" s="15">
        <v>56.75</v>
      </c>
      <c r="P23" s="6">
        <v>5.2511298339817518</v>
      </c>
      <c r="Q23" s="4">
        <f>P23/O23</f>
        <v>9.2530922184700479E-2</v>
      </c>
      <c r="S23" s="8">
        <v>5.0016171993911722E-2</v>
      </c>
      <c r="U23" s="6">
        <v>0.04</v>
      </c>
      <c r="V23" s="4">
        <v>0.06</v>
      </c>
      <c r="W23" s="15">
        <v>2.0499999999999998</v>
      </c>
      <c r="X23" s="2">
        <v>0.46463209149223</v>
      </c>
      <c r="Y23" s="4">
        <f>X23/W23</f>
        <v>0.2266498007279171</v>
      </c>
      <c r="AA23" s="5">
        <v>3.45</v>
      </c>
      <c r="AC23" s="6">
        <v>3.3</v>
      </c>
      <c r="AD23" s="4">
        <v>3.6</v>
      </c>
      <c r="AE23" s="22">
        <v>0.505763553408481</v>
      </c>
      <c r="AF23" s="2"/>
      <c r="AG23" s="26">
        <v>0.45</v>
      </c>
      <c r="AH23" s="26">
        <v>0.65</v>
      </c>
      <c r="AI23" s="22">
        <v>0.53491680085882987</v>
      </c>
      <c r="AJ23" s="26"/>
      <c r="AK23" s="26">
        <v>0.5</v>
      </c>
      <c r="AL23" s="26">
        <v>0.65</v>
      </c>
      <c r="AM23" s="5">
        <v>7.9300000000000015</v>
      </c>
      <c r="AN23" s="2"/>
      <c r="AO23" s="2">
        <v>3</v>
      </c>
      <c r="AP23" s="2">
        <v>10</v>
      </c>
      <c r="AQ23" s="8">
        <v>8.1670000000000016</v>
      </c>
      <c r="AR23" s="2"/>
      <c r="AS23" s="26">
        <v>4</v>
      </c>
      <c r="AT23" s="26">
        <v>10</v>
      </c>
      <c r="AV23" s="46">
        <f t="shared" ref="AV23" si="26">1-(AO23/AM23)</f>
        <v>0.62168978562421184</v>
      </c>
      <c r="AW23" s="46">
        <f t="shared" ref="AW23" si="27">(AT23/AQ23)-1</f>
        <v>0.22443981878290664</v>
      </c>
      <c r="AY23" s="46">
        <f t="shared" ref="AY23" si="28">1-(AS23/AQ23)</f>
        <v>0.51022407248683743</v>
      </c>
      <c r="AZ23" s="46">
        <f t="shared" ref="AZ23" si="29">(AT23/AQ23)-1</f>
        <v>0.22443981878290664</v>
      </c>
      <c r="BB23" s="46">
        <f>AV23*$BB$3+AY23*$BC$3</f>
        <v>0.56038364339865598</v>
      </c>
      <c r="BC23" s="46">
        <f>AW23*$BB$3+AZ23*$BC$3</f>
        <v>0.22443981878290664</v>
      </c>
    </row>
    <row r="24" spans="1:55" x14ac:dyDescent="0.35">
      <c r="A24" s="14" t="s">
        <v>24</v>
      </c>
      <c r="B24" s="9" t="s">
        <v>1</v>
      </c>
      <c r="C24" s="19"/>
      <c r="D24" s="3"/>
      <c r="E24" s="2"/>
      <c r="F24" s="3"/>
      <c r="G24" s="10">
        <v>412</v>
      </c>
      <c r="H24" s="20"/>
      <c r="I24" s="4">
        <v>380</v>
      </c>
      <c r="J24" s="4">
        <v>450</v>
      </c>
      <c r="K24" s="5">
        <v>0</v>
      </c>
      <c r="M24" s="3">
        <v>0</v>
      </c>
      <c r="N24" s="3">
        <v>0</v>
      </c>
      <c r="O24" s="5"/>
      <c r="S24" s="8"/>
      <c r="U24" s="4">
        <f>U23/S23</f>
        <v>0.79974133176103623</v>
      </c>
      <c r="V24" s="4">
        <f>V23/S23</f>
        <v>1.1996119976415542</v>
      </c>
      <c r="W24" s="5"/>
      <c r="AA24" s="5"/>
      <c r="AE24" s="22">
        <v>0.505763553408481</v>
      </c>
      <c r="AF24" s="2"/>
      <c r="AG24" s="26">
        <v>0.45</v>
      </c>
      <c r="AH24" s="26">
        <v>0.65</v>
      </c>
      <c r="AI24" s="22">
        <v>0.53491680085882987</v>
      </c>
      <c r="AJ24" s="26"/>
      <c r="AK24" s="26">
        <v>0.5</v>
      </c>
      <c r="AL24" s="26">
        <v>0.65</v>
      </c>
      <c r="AM24" s="5">
        <v>7.9300000000000015</v>
      </c>
      <c r="AN24" s="2"/>
      <c r="AO24" s="2">
        <v>3</v>
      </c>
      <c r="AP24" s="2">
        <v>10</v>
      </c>
      <c r="AQ24" s="8">
        <v>8.1670000000000016</v>
      </c>
      <c r="AR24" s="2"/>
      <c r="AS24" s="26">
        <v>4</v>
      </c>
      <c r="AT24" s="26">
        <v>10</v>
      </c>
      <c r="AV24" s="46">
        <f t="shared" ref="AV24:AV27" si="30">1-(AO24/AM24)</f>
        <v>0.62168978562421184</v>
      </c>
      <c r="AW24" s="46">
        <f t="shared" ref="AW24:AW27" si="31">(AT24/AQ24)-1</f>
        <v>0.22443981878290664</v>
      </c>
      <c r="AY24" s="46">
        <f t="shared" ref="AY24:AY27" si="32">1-(AS24/AQ24)</f>
        <v>0.51022407248683743</v>
      </c>
      <c r="AZ24" s="46">
        <f t="shared" ref="AZ24:AZ27" si="33">(AT24/AQ24)-1</f>
        <v>0.22443981878290664</v>
      </c>
      <c r="BB24" s="46">
        <f t="shared" ref="BB24:BB27" si="34">AV24*$BB$3+AY24*$BC$3</f>
        <v>0.56038364339865598</v>
      </c>
      <c r="BC24" s="46">
        <f t="shared" ref="BC24:BC27" si="35">AW24*$BB$3+AZ24*$BC$3</f>
        <v>0.22443981878290664</v>
      </c>
    </row>
    <row r="25" spans="1:55" x14ac:dyDescent="0.35">
      <c r="A25" s="14" t="s">
        <v>24</v>
      </c>
      <c r="B25" s="9" t="s">
        <v>2</v>
      </c>
      <c r="C25" s="19"/>
      <c r="D25" s="3"/>
      <c r="E25" s="2"/>
      <c r="F25" s="3"/>
      <c r="G25" s="10">
        <v>267.44444444444446</v>
      </c>
      <c r="H25" s="2">
        <v>10.443646274049039</v>
      </c>
      <c r="I25" s="4">
        <f>H25/G25</f>
        <v>3.9049778340856399E-2</v>
      </c>
      <c r="K25" s="22">
        <v>0.35409939110597011</v>
      </c>
      <c r="M25" s="26">
        <v>0.32264982631698041</v>
      </c>
      <c r="N25" s="26">
        <v>0.39353444033161866</v>
      </c>
      <c r="O25" s="5"/>
      <c r="S25" s="8"/>
      <c r="W25" s="5"/>
      <c r="AA25" s="5"/>
      <c r="AE25" s="22">
        <v>0.505763553408481</v>
      </c>
      <c r="AF25" s="2"/>
      <c r="AG25" s="26">
        <v>0.45</v>
      </c>
      <c r="AH25" s="26">
        <v>0.65</v>
      </c>
      <c r="AI25" s="22">
        <v>0.53491680085882987</v>
      </c>
      <c r="AJ25" s="26"/>
      <c r="AK25" s="26">
        <v>0.5</v>
      </c>
      <c r="AL25" s="26">
        <v>0.65</v>
      </c>
      <c r="AM25" s="5">
        <v>7.9300000000000015</v>
      </c>
      <c r="AN25" s="2"/>
      <c r="AO25" s="2">
        <v>3</v>
      </c>
      <c r="AP25" s="2">
        <v>10</v>
      </c>
      <c r="AQ25" s="8">
        <v>8.1670000000000016</v>
      </c>
      <c r="AR25" s="2"/>
      <c r="AS25" s="26">
        <v>4</v>
      </c>
      <c r="AT25" s="26">
        <v>10</v>
      </c>
      <c r="AV25" s="46">
        <f t="shared" si="30"/>
        <v>0.62168978562421184</v>
      </c>
      <c r="AW25" s="46">
        <f t="shared" si="31"/>
        <v>0.22443981878290664</v>
      </c>
      <c r="AY25" s="46">
        <f t="shared" si="32"/>
        <v>0.51022407248683743</v>
      </c>
      <c r="AZ25" s="46">
        <f t="shared" si="33"/>
        <v>0.22443981878290664</v>
      </c>
      <c r="BB25" s="46">
        <f t="shared" si="34"/>
        <v>0.56038364339865598</v>
      </c>
      <c r="BC25" s="46">
        <f t="shared" si="35"/>
        <v>0.22443981878290664</v>
      </c>
    </row>
    <row r="26" spans="1:55" x14ac:dyDescent="0.35">
      <c r="A26" s="14" t="s">
        <v>24</v>
      </c>
      <c r="B26" s="9" t="s">
        <v>15</v>
      </c>
      <c r="C26" s="19"/>
      <c r="D26" s="3"/>
      <c r="E26" s="2"/>
      <c r="F26" s="3"/>
      <c r="G26" s="10">
        <v>282.5128205128205</v>
      </c>
      <c r="H26" s="2">
        <v>8.8630272665144059</v>
      </c>
      <c r="I26" s="4">
        <f>H26/G26</f>
        <v>3.1372124105469398E-2</v>
      </c>
      <c r="K26" s="22">
        <v>0.61078447905190669</v>
      </c>
      <c r="M26" s="26">
        <v>0.57019691998513933</v>
      </c>
      <c r="N26" s="26">
        <v>0.6595154370809525</v>
      </c>
      <c r="O26" s="5"/>
      <c r="S26" s="8">
        <v>0.15004851598173516</v>
      </c>
      <c r="U26" s="6">
        <v>0.04</v>
      </c>
      <c r="V26" s="4">
        <v>0.06</v>
      </c>
      <c r="W26" s="5"/>
      <c r="AA26" s="5"/>
      <c r="AE26" s="22">
        <v>0.505763553408481</v>
      </c>
      <c r="AF26" s="2"/>
      <c r="AG26" s="26">
        <v>0.45</v>
      </c>
      <c r="AH26" s="26">
        <v>0.65</v>
      </c>
      <c r="AI26" s="22">
        <v>0.53491680085882987</v>
      </c>
      <c r="AJ26" s="26"/>
      <c r="AK26" s="26">
        <v>0.5</v>
      </c>
      <c r="AL26" s="26">
        <v>0.65</v>
      </c>
      <c r="AM26" s="5">
        <v>7.9300000000000015</v>
      </c>
      <c r="AN26" s="2"/>
      <c r="AO26" s="2">
        <v>3</v>
      </c>
      <c r="AP26" s="2">
        <v>10</v>
      </c>
      <c r="AQ26" s="8">
        <v>8.1670000000000016</v>
      </c>
      <c r="AR26" s="2"/>
      <c r="AS26" s="26">
        <v>4</v>
      </c>
      <c r="AT26" s="26">
        <v>10</v>
      </c>
      <c r="AV26" s="46">
        <f t="shared" si="30"/>
        <v>0.62168978562421184</v>
      </c>
      <c r="AW26" s="46">
        <f t="shared" si="31"/>
        <v>0.22443981878290664</v>
      </c>
      <c r="AY26" s="46">
        <f t="shared" si="32"/>
        <v>0.51022407248683743</v>
      </c>
      <c r="AZ26" s="46">
        <f t="shared" si="33"/>
        <v>0.22443981878290664</v>
      </c>
      <c r="BB26" s="46">
        <f t="shared" si="34"/>
        <v>0.56038364339865598</v>
      </c>
      <c r="BC26" s="46">
        <f t="shared" si="35"/>
        <v>0.22443981878290664</v>
      </c>
    </row>
    <row r="27" spans="1:55" x14ac:dyDescent="0.35">
      <c r="A27" s="14" t="s">
        <v>24</v>
      </c>
      <c r="B27" s="9" t="s">
        <v>3</v>
      </c>
      <c r="C27" s="19"/>
      <c r="D27" s="3"/>
      <c r="E27" s="2"/>
      <c r="F27" s="3"/>
      <c r="G27" s="10">
        <v>135.56899374097253</v>
      </c>
      <c r="H27" s="2">
        <v>7.3523215310657761</v>
      </c>
      <c r="I27" s="4">
        <f>H27/G27</f>
        <v>5.4233061175578454E-2</v>
      </c>
      <c r="K27" s="22">
        <v>0.61078447905190669</v>
      </c>
      <c r="M27" s="26">
        <v>0.51189459689842354</v>
      </c>
      <c r="N27" s="26">
        <v>0.61706888785907954</v>
      </c>
      <c r="O27" s="5"/>
      <c r="S27" s="5"/>
      <c r="W27" s="5"/>
      <c r="AA27" s="5"/>
      <c r="AE27" s="22">
        <v>0.505763553408481</v>
      </c>
      <c r="AF27" s="2"/>
      <c r="AG27" s="26">
        <v>0.45</v>
      </c>
      <c r="AH27" s="26">
        <v>0.65</v>
      </c>
      <c r="AI27" s="22">
        <v>0.53491680085882987</v>
      </c>
      <c r="AJ27" s="26"/>
      <c r="AK27" s="26">
        <v>0.5</v>
      </c>
      <c r="AL27" s="26">
        <v>0.65</v>
      </c>
      <c r="AM27" s="5">
        <v>7.9300000000000015</v>
      </c>
      <c r="AN27" s="2"/>
      <c r="AO27" s="2">
        <v>3</v>
      </c>
      <c r="AP27" s="2">
        <v>10</v>
      </c>
      <c r="AQ27" s="8">
        <v>8.1670000000000016</v>
      </c>
      <c r="AR27" s="2"/>
      <c r="AS27" s="26">
        <v>4</v>
      </c>
      <c r="AT27" s="26">
        <v>10</v>
      </c>
      <c r="AV27" s="46">
        <f t="shared" si="30"/>
        <v>0.62168978562421184</v>
      </c>
      <c r="AW27" s="46">
        <f t="shared" si="31"/>
        <v>0.22443981878290664</v>
      </c>
      <c r="AY27" s="46">
        <f t="shared" si="32"/>
        <v>0.51022407248683743</v>
      </c>
      <c r="AZ27" s="46">
        <f t="shared" si="33"/>
        <v>0.22443981878290664</v>
      </c>
      <c r="BB27" s="46">
        <f t="shared" si="34"/>
        <v>0.56038364339865598</v>
      </c>
      <c r="BC27" s="46">
        <f t="shared" si="35"/>
        <v>0.22443981878290664</v>
      </c>
    </row>
    <row r="28" spans="1:55" x14ac:dyDescent="0.35">
      <c r="B28" s="9" t="s">
        <v>26</v>
      </c>
      <c r="C28" s="5"/>
      <c r="D28" s="3"/>
      <c r="E28" s="2"/>
      <c r="G28" s="5"/>
      <c r="K28" s="5"/>
      <c r="O28" s="5"/>
      <c r="S28" s="5"/>
      <c r="W28" s="5"/>
      <c r="AA28" s="5"/>
      <c r="AG28" s="2"/>
      <c r="AH28" s="2"/>
      <c r="AI28" s="5"/>
      <c r="AM28" s="5"/>
      <c r="AQ28" s="5"/>
    </row>
    <row r="29" spans="1:55" x14ac:dyDescent="0.35">
      <c r="AJ29" s="26"/>
      <c r="AK29" s="26"/>
      <c r="AL29" s="26"/>
      <c r="AM29" s="26"/>
      <c r="AN29" s="26"/>
    </row>
    <row r="30" spans="1:55" x14ac:dyDescent="0.35">
      <c r="AC30" s="26"/>
      <c r="AD30" s="26"/>
      <c r="AE30" s="26"/>
      <c r="AF30" s="26"/>
      <c r="AG30" s="26"/>
      <c r="AI30" s="26"/>
    </row>
    <row r="31" spans="1:55" x14ac:dyDescent="0.35">
      <c r="AE31" s="26"/>
      <c r="AI31" s="26"/>
      <c r="AJ31" s="26"/>
      <c r="AK31" s="26"/>
      <c r="AL31" s="26"/>
      <c r="AM31" s="26"/>
      <c r="AN31" s="26"/>
    </row>
    <row r="32" spans="1:55" x14ac:dyDescent="0.35">
      <c r="B32" s="9"/>
      <c r="K32" s="26"/>
      <c r="M32" s="28"/>
      <c r="S32" s="27"/>
      <c r="AE32" s="26"/>
      <c r="AF32" s="26"/>
      <c r="AG32" s="26"/>
      <c r="AH32" s="26"/>
      <c r="AI32" s="26"/>
      <c r="AJ32" s="26"/>
      <c r="AK32" s="26"/>
      <c r="AL32" s="26"/>
      <c r="AM32" s="26"/>
      <c r="AN32" s="26"/>
    </row>
    <row r="33" spans="11:43" x14ac:dyDescent="0.35">
      <c r="K33" s="26"/>
      <c r="M33" s="28"/>
      <c r="S33" s="27"/>
      <c r="AE33" s="26"/>
      <c r="AF33" s="26"/>
      <c r="AG33" s="29"/>
      <c r="AH33" s="26"/>
      <c r="AI33" s="26"/>
      <c r="AJ33" s="26"/>
      <c r="AK33" s="26"/>
      <c r="AL33" s="26"/>
      <c r="AM33" s="26"/>
      <c r="AN33" s="26"/>
      <c r="AO33" s="26"/>
      <c r="AP33" s="26"/>
      <c r="AQ33" s="2"/>
    </row>
    <row r="34" spans="11:43" x14ac:dyDescent="0.35">
      <c r="K34" s="26"/>
      <c r="M34" s="28"/>
      <c r="N34" s="28"/>
      <c r="S34" s="27"/>
      <c r="AE34" s="26"/>
      <c r="AF34" s="26"/>
      <c r="AG34" s="26"/>
      <c r="AH34" s="26"/>
      <c r="AI34" s="26"/>
      <c r="AJ34" s="2"/>
      <c r="AK34" s="26"/>
      <c r="AL34" s="26"/>
    </row>
    <row r="35" spans="11:43" x14ac:dyDescent="0.35">
      <c r="M35" s="28"/>
      <c r="N35" s="28"/>
      <c r="AE35" s="26"/>
      <c r="AF35" s="26"/>
      <c r="AG35" s="26"/>
      <c r="AH35" s="26"/>
      <c r="AI35" s="26"/>
      <c r="AJ35" s="2"/>
      <c r="AK35" s="26"/>
      <c r="AL35" s="26"/>
    </row>
    <row r="36" spans="11:43" x14ac:dyDescent="0.35">
      <c r="M36" s="28"/>
      <c r="N36" s="28"/>
      <c r="AE36" s="26"/>
      <c r="AF36" s="26"/>
      <c r="AG36" s="26"/>
      <c r="AH36" s="26"/>
      <c r="AI36" s="26"/>
      <c r="AJ36" s="2"/>
      <c r="AK36" s="26"/>
      <c r="AL36" s="26"/>
      <c r="AM36" s="26"/>
      <c r="AN36" s="26"/>
    </row>
    <row r="37" spans="11:43" x14ac:dyDescent="0.35">
      <c r="M37" s="28"/>
      <c r="N37" s="28"/>
      <c r="AC37" s="26"/>
      <c r="AD37" s="26"/>
      <c r="AE37" s="26"/>
      <c r="AF37" s="26"/>
      <c r="AG37" s="26"/>
      <c r="AH37" s="26"/>
      <c r="AI37" s="26"/>
      <c r="AJ37" s="2"/>
      <c r="AK37" s="26"/>
      <c r="AL37" s="26"/>
    </row>
    <row r="38" spans="11:43" x14ac:dyDescent="0.35">
      <c r="M38" s="28"/>
      <c r="N38" s="28"/>
      <c r="AE38" s="26"/>
      <c r="AI38" s="26"/>
    </row>
    <row r="39" spans="11:43" x14ac:dyDescent="0.35">
      <c r="M39" s="28"/>
      <c r="N39" s="28"/>
      <c r="AE39" s="26"/>
      <c r="AI39" s="26"/>
    </row>
    <row r="40" spans="11:43" x14ac:dyDescent="0.35">
      <c r="M40" s="28"/>
      <c r="N40" s="28"/>
      <c r="AE40" s="26"/>
      <c r="AI40" s="26"/>
    </row>
    <row r="41" spans="11:43" x14ac:dyDescent="0.35">
      <c r="M41" s="28"/>
      <c r="N41" s="28"/>
      <c r="AE41" s="26"/>
      <c r="AI41" s="26"/>
    </row>
    <row r="42" spans="11:43" x14ac:dyDescent="0.35">
      <c r="L42" s="21"/>
      <c r="M42" s="28"/>
      <c r="N42" s="28"/>
      <c r="AE42" s="26"/>
    </row>
    <row r="43" spans="11:43" x14ac:dyDescent="0.35">
      <c r="L43" s="21"/>
      <c r="M43" s="28"/>
      <c r="N43" s="28"/>
    </row>
    <row r="44" spans="11:43" x14ac:dyDescent="0.35">
      <c r="M44" s="28"/>
      <c r="N44" s="28"/>
    </row>
  </sheetData>
  <mergeCells count="14">
    <mergeCell ref="C1:F1"/>
    <mergeCell ref="G1:J1"/>
    <mergeCell ref="K1:N1"/>
    <mergeCell ref="O1:R1"/>
    <mergeCell ref="S1:V1"/>
    <mergeCell ref="AY1:BA1"/>
    <mergeCell ref="BB1:BD1"/>
    <mergeCell ref="BE1:BG1"/>
    <mergeCell ref="W1:Z1"/>
    <mergeCell ref="AA1:AD1"/>
    <mergeCell ref="AE1:AH1"/>
    <mergeCell ref="AI1:AL1"/>
    <mergeCell ref="AQ1:AT1"/>
    <mergeCell ref="AM1:AP1"/>
  </mergeCells>
  <pageMargins left="0.70866141732283472" right="0.70866141732283472" top="0.74803149606299213" bottom="0.74803149606299213" header="0.31496062992125984" footer="0.31496062992125984"/>
  <pageSetup paperSize="9" scale="2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36FF-CE21-4051-BEFA-C080583FEB1A}">
  <dimension ref="A1:K18"/>
  <sheetViews>
    <sheetView workbookViewId="0">
      <selection activeCell="G18" sqref="G18"/>
    </sheetView>
  </sheetViews>
  <sheetFormatPr defaultRowHeight="14.5" x14ac:dyDescent="0.35"/>
  <cols>
    <col min="2" max="2" width="10.54296875" bestFit="1" customWidth="1"/>
    <col min="3" max="3" width="23.26953125" bestFit="1" customWidth="1"/>
    <col min="4" max="6" width="11.54296875" bestFit="1" customWidth="1"/>
  </cols>
  <sheetData>
    <row r="1" spans="1:11" x14ac:dyDescent="0.35">
      <c r="A1" t="s">
        <v>31</v>
      </c>
    </row>
    <row r="2" spans="1:11" x14ac:dyDescent="0.35">
      <c r="A2" s="25" t="s">
        <v>30</v>
      </c>
      <c r="B2" t="s">
        <v>28</v>
      </c>
      <c r="C2" t="s">
        <v>27</v>
      </c>
      <c r="D2" t="s">
        <v>33</v>
      </c>
      <c r="E2" t="s">
        <v>34</v>
      </c>
      <c r="F2" t="s">
        <v>11</v>
      </c>
    </row>
    <row r="3" spans="1:11" x14ac:dyDescent="0.35">
      <c r="A3">
        <v>1997</v>
      </c>
      <c r="B3" s="24">
        <v>1394545.0940658238</v>
      </c>
      <c r="C3" s="24">
        <v>1720000</v>
      </c>
      <c r="D3" s="24">
        <f>STDEV(B3:C3)</f>
        <v>230131.3709564876</v>
      </c>
      <c r="E3" s="24">
        <f>D3/SQRT(2)</f>
        <v>162727.45296708928</v>
      </c>
      <c r="F3" s="24">
        <f>E3*1.96</f>
        <v>318945.80781549501</v>
      </c>
      <c r="G3" s="30">
        <f>F3/B3</f>
        <v>0.22870956928728794</v>
      </c>
      <c r="H3" s="42"/>
      <c r="I3">
        <f>ABS(1-(B3/C3))</f>
        <v>0.18921796856638151</v>
      </c>
      <c r="K3">
        <f>AVERAGE(I3:I8)</f>
        <v>0.33469834475869131</v>
      </c>
    </row>
    <row r="4" spans="1:11" x14ac:dyDescent="0.35">
      <c r="A4">
        <v>1998</v>
      </c>
      <c r="B4" s="24">
        <v>1357989.3046795758</v>
      </c>
      <c r="C4" s="24">
        <v>1960000</v>
      </c>
      <c r="D4" s="24">
        <f t="shared" ref="D4:D17" si="0">STDEV(B4:C4)</f>
        <v>425685.84500790114</v>
      </c>
      <c r="E4" s="24">
        <f t="shared" ref="E4:E8" si="1">D4/SQRT(2)</f>
        <v>301005.34766021249</v>
      </c>
      <c r="F4" s="24">
        <f t="shared" ref="F4:F17" si="2">E4*1.96</f>
        <v>589970.48141401645</v>
      </c>
      <c r="G4" s="30">
        <f t="shared" ref="G4:G17" si="3">F4/B4</f>
        <v>0.43444412955315787</v>
      </c>
      <c r="I4">
        <f t="shared" ref="I4:I17" si="4">ABS(1-(B4/C4))</f>
        <v>0.30714831393899189</v>
      </c>
    </row>
    <row r="5" spans="1:11" x14ac:dyDescent="0.35">
      <c r="A5">
        <v>1999</v>
      </c>
      <c r="B5" s="24">
        <v>1417478.8088741435</v>
      </c>
      <c r="C5" s="24">
        <v>2150000</v>
      </c>
      <c r="D5" s="24">
        <f t="shared" si="0"/>
        <v>517970.70160794101</v>
      </c>
      <c r="E5" s="24">
        <f t="shared" si="1"/>
        <v>366260.59556292882</v>
      </c>
      <c r="F5" s="24">
        <f t="shared" si="2"/>
        <v>717870.76730334049</v>
      </c>
      <c r="G5" s="30">
        <f t="shared" si="3"/>
        <v>0.50644197487052489</v>
      </c>
      <c r="I5">
        <f t="shared" si="4"/>
        <v>0.3407075307562123</v>
      </c>
    </row>
    <row r="6" spans="1:11" x14ac:dyDescent="0.35">
      <c r="A6">
        <v>2000</v>
      </c>
      <c r="B6" s="24">
        <v>1264044.7882722369</v>
      </c>
      <c r="C6" s="24">
        <v>2270000</v>
      </c>
      <c r="D6" s="24">
        <f t="shared" si="0"/>
        <v>711317.75178265024</v>
      </c>
      <c r="E6" s="24">
        <f t="shared" si="1"/>
        <v>502977.60586388136</v>
      </c>
      <c r="F6" s="24">
        <f t="shared" si="2"/>
        <v>985836.10749320744</v>
      </c>
      <c r="G6" s="30">
        <f t="shared" si="3"/>
        <v>0.77990599434431451</v>
      </c>
      <c r="I6">
        <f t="shared" si="4"/>
        <v>0.4431520756509969</v>
      </c>
    </row>
    <row r="7" spans="1:11" x14ac:dyDescent="0.35">
      <c r="A7">
        <v>2001</v>
      </c>
      <c r="B7" s="24">
        <v>1114972.6261130988</v>
      </c>
      <c r="C7" s="24">
        <v>1810000</v>
      </c>
      <c r="D7" s="24">
        <f t="shared" si="0"/>
        <v>491458.56918570516</v>
      </c>
      <c r="E7" s="24">
        <f t="shared" si="1"/>
        <v>347513.68694345013</v>
      </c>
      <c r="F7" s="24">
        <f t="shared" si="2"/>
        <v>681126.82640916226</v>
      </c>
      <c r="G7" s="30">
        <f t="shared" si="3"/>
        <v>0.61089107522185138</v>
      </c>
      <c r="I7">
        <f t="shared" si="4"/>
        <v>0.38399302424690673</v>
      </c>
    </row>
    <row r="8" spans="1:11" x14ac:dyDescent="0.35">
      <c r="A8">
        <v>2002</v>
      </c>
      <c r="B8" s="24">
        <v>754923.22484536411</v>
      </c>
      <c r="C8" s="24">
        <v>1150747</v>
      </c>
      <c r="D8" s="24">
        <f t="shared" si="0"/>
        <v>279889.67556670209</v>
      </c>
      <c r="E8" s="24">
        <f t="shared" si="1"/>
        <v>197911.88757731777</v>
      </c>
      <c r="F8" s="24">
        <f t="shared" si="2"/>
        <v>387907.29965154285</v>
      </c>
      <c r="G8" s="30">
        <f t="shared" si="3"/>
        <v>0.51383675436796961</v>
      </c>
      <c r="I8">
        <f t="shared" si="4"/>
        <v>0.34397115539265877</v>
      </c>
    </row>
    <row r="9" spans="1:11" x14ac:dyDescent="0.35">
      <c r="D9" s="24"/>
      <c r="E9" s="24"/>
      <c r="F9" s="24"/>
      <c r="G9" s="45">
        <f>AVERAGE(G3:G8)</f>
        <v>0.51237158294085106</v>
      </c>
    </row>
    <row r="10" spans="1:11" x14ac:dyDescent="0.35">
      <c r="A10" t="s">
        <v>29</v>
      </c>
      <c r="D10" s="24"/>
      <c r="E10" s="24"/>
      <c r="F10" s="24"/>
      <c r="G10" s="30"/>
    </row>
    <row r="11" spans="1:11" x14ac:dyDescent="0.35">
      <c r="B11" t="s">
        <v>28</v>
      </c>
      <c r="C11" t="s">
        <v>27</v>
      </c>
      <c r="D11" s="24"/>
      <c r="E11" s="24"/>
      <c r="F11" s="24"/>
      <c r="G11" s="30"/>
    </row>
    <row r="12" spans="1:11" x14ac:dyDescent="0.35">
      <c r="A12">
        <v>1997</v>
      </c>
      <c r="B12">
        <v>3751054</v>
      </c>
      <c r="C12">
        <v>3090000</v>
      </c>
      <c r="D12" s="24">
        <f t="shared" si="0"/>
        <v>467435.76613049197</v>
      </c>
      <c r="E12" s="24">
        <f>D12/SQRT(2)</f>
        <v>330526.99999999994</v>
      </c>
      <c r="F12" s="24">
        <f>E12*1.96</f>
        <v>647832.91999999993</v>
      </c>
      <c r="G12" s="30">
        <f t="shared" si="3"/>
        <v>0.17270690317974627</v>
      </c>
      <c r="H12" s="42"/>
      <c r="I12">
        <f t="shared" si="4"/>
        <v>0.21393333333333331</v>
      </c>
      <c r="J12" t="s">
        <v>48</v>
      </c>
      <c r="K12">
        <f>AVERAGE(I12:I17)</f>
        <v>0.12360387433044961</v>
      </c>
    </row>
    <row r="13" spans="1:11" x14ac:dyDescent="0.35">
      <c r="A13">
        <v>1998</v>
      </c>
      <c r="B13">
        <v>3989079</v>
      </c>
      <c r="C13">
        <v>3720000</v>
      </c>
      <c r="D13" s="24">
        <f t="shared" si="0"/>
        <v>190267.58557489503</v>
      </c>
      <c r="E13" s="24">
        <f t="shared" ref="E13:E17" si="5">D13/SQRT(2)</f>
        <v>134539.5</v>
      </c>
      <c r="F13" s="24">
        <f t="shared" si="2"/>
        <v>263697.42</v>
      </c>
      <c r="G13" s="30">
        <f t="shared" si="3"/>
        <v>6.6104837733221122E-2</v>
      </c>
      <c r="I13">
        <f t="shared" si="4"/>
        <v>7.2333064516129086E-2</v>
      </c>
    </row>
    <row r="14" spans="1:11" x14ac:dyDescent="0.35">
      <c r="A14">
        <v>1999</v>
      </c>
      <c r="B14">
        <v>4443425</v>
      </c>
      <c r="C14">
        <v>3920000</v>
      </c>
      <c r="D14" s="24">
        <f t="shared" si="0"/>
        <v>370117.36694256862</v>
      </c>
      <c r="E14" s="24">
        <f t="shared" si="5"/>
        <v>261712.49999999997</v>
      </c>
      <c r="F14" s="24">
        <f t="shared" si="2"/>
        <v>512956.49999999994</v>
      </c>
      <c r="G14" s="30">
        <f t="shared" si="3"/>
        <v>0.11544169193808829</v>
      </c>
      <c r="I14">
        <f t="shared" si="4"/>
        <v>0.13352678571428567</v>
      </c>
    </row>
    <row r="15" spans="1:11" x14ac:dyDescent="0.35">
      <c r="A15">
        <v>2000</v>
      </c>
      <c r="B15">
        <v>4591703</v>
      </c>
      <c r="C15">
        <v>3910000</v>
      </c>
      <c r="D15" s="24">
        <f t="shared" si="0"/>
        <v>482036.81405521301</v>
      </c>
      <c r="E15" s="24">
        <f t="shared" si="5"/>
        <v>340851.5</v>
      </c>
      <c r="F15" s="24">
        <f t="shared" si="2"/>
        <v>668068.93999999994</v>
      </c>
      <c r="G15" s="30">
        <f t="shared" si="3"/>
        <v>0.14549480661096764</v>
      </c>
      <c r="I15">
        <f t="shared" si="4"/>
        <v>0.17434859335038366</v>
      </c>
    </row>
    <row r="16" spans="1:11" x14ac:dyDescent="0.35">
      <c r="A16">
        <v>2001</v>
      </c>
      <c r="B16">
        <v>4903114</v>
      </c>
      <c r="C16">
        <v>4620000</v>
      </c>
      <c r="D16" s="24">
        <f t="shared" si="0"/>
        <v>200191.82924884823</v>
      </c>
      <c r="E16" s="24">
        <f t="shared" si="5"/>
        <v>141557</v>
      </c>
      <c r="F16" s="24">
        <f t="shared" si="2"/>
        <v>277451.71999999997</v>
      </c>
      <c r="G16" s="30">
        <f t="shared" si="3"/>
        <v>5.6586838486724959E-2</v>
      </c>
      <c r="I16">
        <f t="shared" si="4"/>
        <v>6.1280086580086657E-2</v>
      </c>
    </row>
    <row r="17" spans="1:9" x14ac:dyDescent="0.35">
      <c r="A17">
        <v>2002</v>
      </c>
      <c r="B17">
        <v>4714114</v>
      </c>
      <c r="C17">
        <v>4340000</v>
      </c>
      <c r="D17" s="24">
        <f t="shared" si="0"/>
        <v>264538.54633682402</v>
      </c>
      <c r="E17" s="24">
        <f t="shared" si="5"/>
        <v>187056.99999999997</v>
      </c>
      <c r="F17" s="24">
        <f t="shared" si="2"/>
        <v>366631.71999999991</v>
      </c>
      <c r="G17" s="30">
        <f t="shared" si="3"/>
        <v>7.7773197678291175E-2</v>
      </c>
      <c r="I17">
        <f t="shared" si="4"/>
        <v>8.6201382488479306E-2</v>
      </c>
    </row>
    <row r="18" spans="1:9" x14ac:dyDescent="0.35">
      <c r="G18" s="45">
        <f>AVERAGE(G12:G17)</f>
        <v>0.10568471260450657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BB73-2E4D-4D0D-9433-A60526C77789}">
  <dimension ref="A1:I24"/>
  <sheetViews>
    <sheetView workbookViewId="0">
      <selection activeCell="H24" sqref="H24"/>
    </sheetView>
  </sheetViews>
  <sheetFormatPr defaultRowHeight="14.5" x14ac:dyDescent="0.35"/>
  <cols>
    <col min="1" max="1" width="39.1796875" bestFit="1" customWidth="1"/>
    <col min="2" max="7" width="11.54296875" bestFit="1" customWidth="1"/>
    <col min="8" max="8" width="10.54296875" bestFit="1" customWidth="1"/>
  </cols>
  <sheetData>
    <row r="1" spans="1:8" x14ac:dyDescent="0.35">
      <c r="A1" s="39"/>
      <c r="B1" s="39">
        <v>1990</v>
      </c>
      <c r="C1" s="39">
        <v>1991</v>
      </c>
      <c r="D1" s="39">
        <v>1992</v>
      </c>
      <c r="E1" s="39">
        <v>1993</v>
      </c>
      <c r="F1" s="39">
        <v>1994</v>
      </c>
      <c r="G1" s="39">
        <v>1995</v>
      </c>
      <c r="H1" s="39">
        <v>1996</v>
      </c>
    </row>
    <row r="2" spans="1:8" x14ac:dyDescent="0.35">
      <c r="A2" s="31" t="s">
        <v>45</v>
      </c>
      <c r="B2" s="31">
        <v>5837</v>
      </c>
      <c r="C2" s="31">
        <v>5934</v>
      </c>
      <c r="D2" s="31">
        <v>4987</v>
      </c>
      <c r="E2" s="31">
        <v>4223</v>
      </c>
      <c r="F2" s="31">
        <v>4882</v>
      </c>
      <c r="G2" s="31">
        <v>5202</v>
      </c>
      <c r="H2" s="31">
        <v>5054</v>
      </c>
    </row>
    <row r="3" spans="1:8" x14ac:dyDescent="0.35">
      <c r="A3" s="31" t="s">
        <v>46</v>
      </c>
      <c r="B3" s="31">
        <v>20812</v>
      </c>
      <c r="C3" s="31">
        <v>20458</v>
      </c>
      <c r="D3" s="31">
        <v>20227</v>
      </c>
      <c r="E3" s="31">
        <v>18084</v>
      </c>
      <c r="F3" s="31">
        <v>16217</v>
      </c>
      <c r="G3" s="31">
        <v>16278</v>
      </c>
      <c r="H3" s="31">
        <v>14533</v>
      </c>
    </row>
    <row r="4" spans="1:8" x14ac:dyDescent="0.35">
      <c r="A4" s="31" t="s">
        <v>35</v>
      </c>
      <c r="B4" s="31">
        <v>50314</v>
      </c>
      <c r="C4" s="31">
        <v>49467</v>
      </c>
      <c r="D4" s="31">
        <v>47572</v>
      </c>
      <c r="E4" s="31">
        <v>44728</v>
      </c>
      <c r="F4" s="31">
        <v>40399</v>
      </c>
      <c r="G4" s="31">
        <v>41602</v>
      </c>
      <c r="H4" s="31">
        <v>38911</v>
      </c>
    </row>
    <row r="5" spans="1:8" x14ac:dyDescent="0.35">
      <c r="A5" s="31" t="s">
        <v>36</v>
      </c>
      <c r="B5" s="31">
        <v>15583</v>
      </c>
      <c r="C5" s="31">
        <v>15435</v>
      </c>
      <c r="D5" s="31">
        <v>16294</v>
      </c>
      <c r="E5" s="31">
        <v>14174</v>
      </c>
      <c r="F5" s="31">
        <v>12674</v>
      </c>
      <c r="G5" s="31">
        <v>12277</v>
      </c>
      <c r="H5" s="31">
        <v>11697</v>
      </c>
    </row>
    <row r="6" spans="1:8" x14ac:dyDescent="0.35">
      <c r="A6" s="31" t="s">
        <v>37</v>
      </c>
      <c r="B6" s="31">
        <v>12299</v>
      </c>
      <c r="C6" s="31">
        <v>12380</v>
      </c>
      <c r="D6" s="31">
        <v>12017</v>
      </c>
      <c r="E6" s="31">
        <v>10964</v>
      </c>
      <c r="F6" s="31">
        <v>10283</v>
      </c>
      <c r="G6" s="31">
        <v>10517</v>
      </c>
      <c r="H6" s="31">
        <v>8612</v>
      </c>
    </row>
    <row r="7" spans="1:8" x14ac:dyDescent="0.35">
      <c r="A7" s="31" t="s">
        <v>38</v>
      </c>
      <c r="B7" s="31">
        <v>20212</v>
      </c>
      <c r="C7" s="31">
        <v>20212</v>
      </c>
      <c r="D7" s="31">
        <v>21094</v>
      </c>
      <c r="E7" s="31">
        <v>20837</v>
      </c>
      <c r="F7" s="31">
        <v>18855</v>
      </c>
      <c r="G7" s="31">
        <v>17593</v>
      </c>
      <c r="H7" s="31">
        <v>17079</v>
      </c>
    </row>
    <row r="8" spans="1:8" x14ac:dyDescent="0.35">
      <c r="A8" s="31" t="s">
        <v>39</v>
      </c>
      <c r="B8" s="31">
        <v>1492</v>
      </c>
      <c r="C8" s="31">
        <v>1330</v>
      </c>
      <c r="D8" s="31">
        <v>1345</v>
      </c>
      <c r="E8" s="31">
        <v>1307</v>
      </c>
      <c r="F8" s="31">
        <v>1173</v>
      </c>
      <c r="G8" s="31">
        <v>1359</v>
      </c>
      <c r="H8" s="31">
        <v>1174</v>
      </c>
    </row>
    <row r="9" spans="1:8" x14ac:dyDescent="0.35">
      <c r="A9" s="31" t="s">
        <v>40</v>
      </c>
      <c r="B9" s="31">
        <v>579</v>
      </c>
      <c r="C9" s="31">
        <v>823</v>
      </c>
      <c r="D9" s="31">
        <v>654</v>
      </c>
      <c r="E9" s="31">
        <v>541</v>
      </c>
      <c r="F9" s="31">
        <v>425</v>
      </c>
      <c r="G9" s="31">
        <v>537</v>
      </c>
      <c r="H9" s="31">
        <v>589</v>
      </c>
    </row>
    <row r="10" spans="1:8" x14ac:dyDescent="0.35">
      <c r="A10" s="31" t="s">
        <v>41</v>
      </c>
      <c r="B10" s="40">
        <f>SUM(B2:B9)</f>
        <v>127128</v>
      </c>
      <c r="C10" s="40">
        <f t="shared" ref="C10:H10" si="0">SUM(C2:C9)</f>
        <v>126039</v>
      </c>
      <c r="D10" s="40">
        <f t="shared" si="0"/>
        <v>124190</v>
      </c>
      <c r="E10" s="40">
        <f t="shared" si="0"/>
        <v>114858</v>
      </c>
      <c r="F10" s="40">
        <f t="shared" si="0"/>
        <v>104908</v>
      </c>
      <c r="G10" s="40">
        <f t="shared" si="0"/>
        <v>105365</v>
      </c>
      <c r="H10" s="40">
        <f t="shared" si="0"/>
        <v>97649</v>
      </c>
    </row>
    <row r="11" spans="1:8" x14ac:dyDescent="0.35">
      <c r="A11" s="32"/>
      <c r="B11" s="32" t="s">
        <v>42</v>
      </c>
      <c r="C11" s="32"/>
      <c r="D11" s="32"/>
      <c r="E11" s="32"/>
      <c r="F11" s="32"/>
      <c r="G11" s="32"/>
      <c r="H11" s="32"/>
    </row>
    <row r="14" spans="1:8" ht="15.5" x14ac:dyDescent="0.35">
      <c r="A14" s="33" t="s">
        <v>43</v>
      </c>
      <c r="B14" s="34"/>
      <c r="C14" s="34"/>
      <c r="D14" s="34"/>
      <c r="E14" s="34"/>
      <c r="F14" s="34"/>
      <c r="G14" s="34"/>
      <c r="H14" s="34"/>
    </row>
    <row r="15" spans="1:8" ht="15.5" x14ac:dyDescent="0.35">
      <c r="A15" s="34"/>
      <c r="B15" s="34"/>
      <c r="C15" s="34"/>
      <c r="D15" s="34"/>
      <c r="E15" s="34"/>
      <c r="F15" s="34"/>
      <c r="G15" s="34"/>
      <c r="H15" s="34"/>
    </row>
    <row r="16" spans="1:8" ht="15.5" x14ac:dyDescent="0.35">
      <c r="A16" s="35" t="s">
        <v>44</v>
      </c>
      <c r="B16" s="36">
        <v>1990</v>
      </c>
      <c r="C16" s="36">
        <v>1991</v>
      </c>
      <c r="D16" s="36">
        <v>1992</v>
      </c>
      <c r="E16" s="36">
        <v>1993</v>
      </c>
      <c r="F16" s="36">
        <v>1994</v>
      </c>
      <c r="G16" s="36">
        <v>1995</v>
      </c>
      <c r="H16" s="36">
        <v>1996</v>
      </c>
    </row>
    <row r="17" spans="1:9" ht="15.5" x14ac:dyDescent="0.35">
      <c r="A17" s="38" t="s">
        <v>41</v>
      </c>
      <c r="B17" s="38">
        <v>119220</v>
      </c>
      <c r="C17" s="38">
        <v>117952</v>
      </c>
      <c r="D17" s="38">
        <v>117204</v>
      </c>
      <c r="E17" s="38">
        <v>108787</v>
      </c>
      <c r="F17" s="38">
        <v>98428</v>
      </c>
      <c r="G17" s="38">
        <v>98267</v>
      </c>
      <c r="H17" s="38">
        <v>90832</v>
      </c>
    </row>
    <row r="18" spans="1:9" ht="15.5" x14ac:dyDescent="0.35">
      <c r="B18" s="37" t="s">
        <v>47</v>
      </c>
      <c r="C18" s="37"/>
      <c r="D18" s="37"/>
      <c r="E18" s="37"/>
      <c r="F18" s="37"/>
      <c r="G18" s="37"/>
      <c r="H18" s="37"/>
    </row>
    <row r="20" spans="1:9" x14ac:dyDescent="0.35">
      <c r="B20" s="41">
        <f>ABS(1-(B17/B10))</f>
        <v>6.2205021710402097E-2</v>
      </c>
      <c r="C20" s="41">
        <f t="shared" ref="C20:H20" si="1">ABS(1-(C17/C10))</f>
        <v>6.416267980545709E-2</v>
      </c>
      <c r="D20" s="41">
        <f t="shared" si="1"/>
        <v>5.6252516305660638E-2</v>
      </c>
      <c r="E20" s="41">
        <f t="shared" si="1"/>
        <v>5.2856570722109031E-2</v>
      </c>
      <c r="F20" s="41">
        <f t="shared" si="1"/>
        <v>6.1768406603881498E-2</v>
      </c>
      <c r="G20" s="41">
        <f t="shared" si="1"/>
        <v>6.73658235657002E-2</v>
      </c>
      <c r="H20" s="41">
        <f t="shared" si="1"/>
        <v>6.981126278814942E-2</v>
      </c>
    </row>
    <row r="21" spans="1:9" x14ac:dyDescent="0.35">
      <c r="B21">
        <f>STDEV(B10,B17)</f>
        <v>5591.800425623218</v>
      </c>
      <c r="C21">
        <f t="shared" ref="C21:H21" si="2">STDEV(C10,C17)</f>
        <v>5718.3725394556095</v>
      </c>
      <c r="D21">
        <f t="shared" si="2"/>
        <v>4939.8479733692211</v>
      </c>
      <c r="E21">
        <f t="shared" si="2"/>
        <v>4292.84526858353</v>
      </c>
      <c r="F21">
        <f t="shared" si="2"/>
        <v>4582.0519420888277</v>
      </c>
      <c r="G21">
        <f t="shared" si="2"/>
        <v>5019.0439328621142</v>
      </c>
      <c r="H21">
        <f t="shared" si="2"/>
        <v>4820.3469273486944</v>
      </c>
    </row>
    <row r="22" spans="1:9" x14ac:dyDescent="0.35">
      <c r="B22">
        <f>B21/SQRT(2)</f>
        <v>3954</v>
      </c>
      <c r="C22">
        <f t="shared" ref="C22:H22" si="3">C21/SQRT(2)</f>
        <v>4043.4999999999995</v>
      </c>
      <c r="D22">
        <f t="shared" si="3"/>
        <v>3493</v>
      </c>
      <c r="E22">
        <f t="shared" si="3"/>
        <v>3035.5</v>
      </c>
      <c r="F22">
        <f t="shared" si="3"/>
        <v>3239.9999999999995</v>
      </c>
      <c r="G22">
        <f t="shared" si="3"/>
        <v>3548.9999999999995</v>
      </c>
      <c r="H22">
        <f t="shared" si="3"/>
        <v>3408.4999999999995</v>
      </c>
    </row>
    <row r="23" spans="1:9" x14ac:dyDescent="0.35">
      <c r="B23">
        <f>B22*1.96</f>
        <v>7749.84</v>
      </c>
      <c r="C23">
        <f t="shared" ref="C23:H23" si="4">C22*1.96</f>
        <v>7925.2599999999993</v>
      </c>
      <c r="D23">
        <f t="shared" si="4"/>
        <v>6846.28</v>
      </c>
      <c r="E23">
        <f t="shared" si="4"/>
        <v>5949.58</v>
      </c>
      <c r="F23">
        <f t="shared" si="4"/>
        <v>6350.3999999999987</v>
      </c>
      <c r="G23">
        <f t="shared" si="4"/>
        <v>6956.0399999999991</v>
      </c>
      <c r="H23">
        <f t="shared" si="4"/>
        <v>6680.6599999999989</v>
      </c>
    </row>
    <row r="24" spans="1:9" x14ac:dyDescent="0.35">
      <c r="B24" s="43">
        <f>B23/B17</f>
        <v>6.5004529441368905E-2</v>
      </c>
      <c r="C24" s="43">
        <f t="shared" ref="C24:H24" si="5">C23/C17</f>
        <v>6.7190552088985347E-2</v>
      </c>
      <c r="D24" s="43">
        <f t="shared" si="5"/>
        <v>5.8413364731579126E-2</v>
      </c>
      <c r="E24" s="43">
        <f t="shared" si="5"/>
        <v>5.4690174377453188E-2</v>
      </c>
      <c r="F24" s="43">
        <f t="shared" si="5"/>
        <v>6.4518226520908675E-2</v>
      </c>
      <c r="G24" s="43">
        <f t="shared" si="5"/>
        <v>7.078714115623759E-2</v>
      </c>
      <c r="H24" s="43">
        <f t="shared" si="5"/>
        <v>7.3549630086313184E-2</v>
      </c>
      <c r="I24" s="44">
        <f>AVERAGE(B24:H24)</f>
        <v>6.4879088343263711E-2</v>
      </c>
    </row>
  </sheetData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A32E7549EE6449AC68337FF671C5A" ma:contentTypeVersion="12" ma:contentTypeDescription="Create a new document." ma:contentTypeScope="" ma:versionID="5b725368af9e92254b31af2044252fac">
  <xsd:schema xmlns:xsd="http://www.w3.org/2001/XMLSchema" xmlns:xs="http://www.w3.org/2001/XMLSchema" xmlns:p="http://schemas.microsoft.com/office/2006/metadata/properties" xmlns:ns2="03e19825-731a-404b-84c3-310fff85d1a8" xmlns:ns3="a675dd88-c1ff-478a-b60f-ff004313760b" targetNamespace="http://schemas.microsoft.com/office/2006/metadata/properties" ma:root="true" ma:fieldsID="de1faf0135fd982ba30b50c3b754e7cb" ns2:_="" ns3:_="">
    <xsd:import namespace="03e19825-731a-404b-84c3-310fff85d1a8"/>
    <xsd:import namespace="a675dd88-c1ff-478a-b60f-ff00431376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19825-731a-404b-84c3-310fff85d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5dd88-c1ff-478a-b60f-ff00431376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e70d54-65c2-44e4-aa1e-ee2a67be174e}" ma:internalName="TaxCatchAll" ma:showField="CatchAllData" ma:web="a675dd88-c1ff-478a-b60f-ff00431376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5dd88-c1ff-478a-b60f-ff004313760b" xsi:nil="true"/>
    <lcf76f155ced4ddcb4097134ff3c332f xmlns="03e19825-731a-404b-84c3-310fff85d1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77785D-F291-4EC2-B9E6-D40AF4FF98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e19825-731a-404b-84c3-310fff85d1a8"/>
    <ds:schemaRef ds:uri="a675dd88-c1ff-478a-b60f-ff00431376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3AB77C-503F-4D18-87D9-AB4468A8B1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CD41F2-94FF-4DD0-A88D-C73AFDFA3F77}">
  <ds:schemaRefs>
    <ds:schemaRef ds:uri="http://purl.org/dc/dcmitype/"/>
    <ds:schemaRef ds:uri="http://www.w3.org/XML/1998/namespace"/>
    <ds:schemaRef ds:uri="http://purl.org/dc/elements/1.1/"/>
    <ds:schemaRef ds:uri="6c5d4545-8140-4592-ad73-9ec681158bc8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b7a70968-3967-4b0c-adfa-e22b1b66c69b"/>
    <ds:schemaRef ds:uri="http://purl.org/dc/terms/"/>
    <ds:schemaRef ds:uri="a675dd88-c1ff-478a-b60f-ff004313760b"/>
    <ds:schemaRef ds:uri="03e19825-731a-404b-84c3-310fff85d1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</vt:lpstr>
      <vt:lpstr>Non-dairy cattle popu</vt:lpstr>
      <vt:lpstr>Dairy cattle 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AWilkes</dc:creator>
  <cp:lastModifiedBy>Lolita, Muller (Alliance Bioversity-CIAT)</cp:lastModifiedBy>
  <cp:lastPrinted>2022-12-28T13:51:56Z</cp:lastPrinted>
  <dcterms:created xsi:type="dcterms:W3CDTF">2022-08-01T18:41:33Z</dcterms:created>
  <dcterms:modified xsi:type="dcterms:W3CDTF">2026-03-31T10:30:46Z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0x0101006AAA32E7549EE6449AC68337FF671C5A</vt:lpwstr>
  </property>
  <property fmtid="{D5CDD505-2E9C-101B-9397-08002B2CF9AE}" pid="3" name="MediaServiceImageTags">
    <vt:lpwstr/>
  </property>
</Properties>
</file>