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" activeTab="4" autoFilterDateGrouping="1"/>
  </bookViews>
  <sheets>
    <sheet xmlns:r="http://schemas.openxmlformats.org/officeDocument/2006/relationships" name="_Lis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Inventory_Metadata" sheetId="3" state="visible" r:id="rId3"/>
    <sheet xmlns:r="http://schemas.openxmlformats.org/officeDocument/2006/relationships" name="Parameters" sheetId="4" state="visible" r:id="rId4"/>
    <sheet xmlns:r="http://schemas.openxmlformats.org/officeDocument/2006/relationships" name="Manure_Management" sheetId="5" state="visible" r:id="rId5"/>
    <sheet xmlns:r="http://schemas.openxmlformats.org/officeDocument/2006/relationships" name="Parameter_TimeSeries" sheetId="6" state="visible" r:id="rId6"/>
    <sheet xmlns:r="http://schemas.openxmlformats.org/officeDocument/2006/relationships" name="Vocab" sheetId="7" state="visible" r:id="rId7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0.01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6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4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4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Pal_Workbook_GUID" hidden="1">"HXUKV4K4ZMPIDMHKE3NHY1YF"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_xlnm._FilterDatabase" localSheetId="3" hidden="1">'Parameters'!$C$1:$C$204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rgb="FF000000"/>
      <sz val="10"/>
    </font>
    <font>
      <name val="Calibri"/>
      <family val="2"/>
      <b val="1"/>
      <color rgb="FFFFFFFF"/>
      <sz val="16"/>
    </font>
    <font>
      <name val="Calibri"/>
      <family val="2"/>
      <b val="1"/>
      <color rgb="FFFFFFFF"/>
      <sz val="10"/>
    </font>
    <font>
      <name val="Calibri"/>
      <family val="2"/>
      <color rgb="FF1565C0"/>
      <sz val="9"/>
    </font>
    <font>
      <name val="Calibri"/>
      <family val="2"/>
      <color rgb="FF6B6B6B"/>
      <sz val="9"/>
    </font>
    <font>
      <name val="Calibri"/>
      <family val="2"/>
      <b val="1"/>
      <color rgb="FF000000"/>
      <sz val="10"/>
    </font>
    <font>
      <name val="Calibri"/>
      <family val="2"/>
      <i val="1"/>
      <color rgb="FF6B6B6B"/>
      <sz val="8"/>
    </font>
    <font>
      <name val="Calibri"/>
      <family val="2"/>
      <b val="1"/>
      <color rgb="FF6B6B6B"/>
      <sz val="9"/>
    </font>
    <font>
      <name val="Calibri"/>
      <family val="2"/>
      <i val="1"/>
      <color rgb="FFFFFFFF"/>
      <sz val="9"/>
    </font>
    <font>
      <name val="Calibri"/>
      <family val="2"/>
      <i val="1"/>
      <color rgb="FF6B6B6B"/>
      <sz val="7"/>
    </font>
    <font>
      <name val="Calibri"/>
      <family val="2"/>
      <i val="1"/>
      <color rgb="FF555555"/>
      <sz val="9"/>
    </font>
    <font>
      <name val="Calibri"/>
      <family val="2"/>
      <i val="1"/>
      <color rgb="FF6B7280"/>
      <sz val="9"/>
    </font>
    <font>
      <name val="Calibri"/>
      <family val="2"/>
      <b val="1"/>
      <color rgb="FFFFFFFF"/>
      <sz val="13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</fonts>
  <fills count="12">
    <fill>
      <patternFill/>
    </fill>
    <fill>
      <patternFill patternType="gray125"/>
    </fill>
    <fill>
      <patternFill patternType="solid">
        <fgColor rgb="FF1B4332"/>
      </patternFill>
    </fill>
    <fill>
      <patternFill patternType="solid">
        <fgColor rgb="FFFFF9C4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2D6A4F"/>
      </patternFill>
    </fill>
    <fill>
      <patternFill patternType="solid">
        <fgColor rgb="FFFAFAFA"/>
      </patternFill>
    </fill>
    <fill>
      <patternFill patternType="solid">
        <fgColor rgb="FFFFF3E0"/>
      </patternFill>
    </fill>
    <fill>
      <patternFill patternType="solid">
        <fgColor rgb="FFD8F3DC"/>
      </patternFill>
    </fill>
  </fills>
  <borders count="8">
    <border>
      <left/>
      <right/>
      <top/>
      <bottom/>
      <diagonal/>
    </border>
    <border>
      <left style="thin">
        <color rgb="FF2D6A4F"/>
      </left>
      <right style="thin">
        <color rgb="FF2D6A4F"/>
      </right>
      <top style="thin">
        <color rgb="FF2D6A4F"/>
      </top>
      <bottom style="thin">
        <color rgb="FF2D6A4F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1B4332"/>
      </left>
      <right style="thin">
        <color rgb="FF1B4332"/>
      </right>
      <top style="thin">
        <color rgb="FF1B4332"/>
      </top>
      <bottom style="thin">
        <color rgb="FF1B4332"/>
      </bottom>
      <diagonal/>
    </border>
    <border>
      <left style="thin">
        <color rgb="FFB7DFC0"/>
      </left>
      <right style="thin">
        <color rgb="FFB7DFC0"/>
      </right>
      <top style="thin">
        <color rgb="FFB7DFC0"/>
      </top>
      <bottom style="thin">
        <color rgb="FFB7DFC0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top"/>
    </xf>
    <xf numFmtId="0" fontId="0" fillId="4" borderId="2" applyAlignment="1" pivotButton="0" quotePrefix="0" xfId="0">
      <alignment horizontal="left" vertical="top"/>
    </xf>
    <xf numFmtId="0" fontId="3" fillId="5" borderId="2" applyAlignment="1" pivotButton="0" quotePrefix="0" xfId="0">
      <alignment horizontal="left" vertical="top"/>
    </xf>
    <xf numFmtId="0" fontId="4" fillId="6" borderId="3" applyAlignment="1" pivotButton="0" quotePrefix="0" xfId="0">
      <alignment horizontal="left" vertical="top"/>
    </xf>
    <xf numFmtId="0" fontId="0" fillId="7" borderId="2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right" vertical="center"/>
    </xf>
    <xf numFmtId="0" fontId="9" fillId="9" borderId="0" applyAlignment="1" pivotButton="0" quotePrefix="0" xfId="0">
      <alignment horizontal="center"/>
    </xf>
    <xf numFmtId="0" fontId="0" fillId="10" borderId="2" applyAlignment="1" pivotButton="0" quotePrefix="0" xfId="0">
      <alignment horizontal="left" vertical="top"/>
    </xf>
    <xf numFmtId="0" fontId="2" fillId="8" borderId="4" applyAlignment="1" pivotButton="0" quotePrefix="0" xfId="0">
      <alignment horizontal="center" vertical="center" wrapText="1"/>
    </xf>
    <xf numFmtId="0" fontId="10" fillId="11" borderId="5" applyAlignment="1" pivotButton="0" quotePrefix="0" xfId="0">
      <alignment horizontal="center" vertical="top" wrapText="1"/>
    </xf>
    <xf numFmtId="0" fontId="0" fillId="7" borderId="6" applyAlignment="1" pivotButton="0" quotePrefix="0" xfId="0">
      <alignment horizontal="right"/>
    </xf>
    <xf numFmtId="0" fontId="13" fillId="7" borderId="7" applyAlignment="1" pivotButton="0" quotePrefix="0" xfId="0">
      <alignment horizontal="left" vertical="top" wrapText="1"/>
    </xf>
    <xf numFmtId="0" fontId="13" fillId="5" borderId="7" applyAlignment="1" pivotButton="0" quotePrefix="0" xfId="0">
      <alignment horizontal="left" vertical="top" wrapText="1"/>
    </xf>
    <xf numFmtId="0" fontId="14" fillId="7" borderId="7" pivotButton="0" quotePrefix="0" xfId="0"/>
    <xf numFmtId="0" fontId="13" fillId="7" borderId="7" applyAlignment="1" pivotButton="0" quotePrefix="0" xfId="0">
      <alignment horizontal="left" vertical="top"/>
    </xf>
    <xf numFmtId="0" fontId="13" fillId="4" borderId="7" applyAlignment="1" pivotButton="0" quotePrefix="0" xfId="0">
      <alignment horizontal="left" vertical="top"/>
    </xf>
    <xf numFmtId="0" fontId="14" fillId="4" borderId="7" pivotButton="0" quotePrefix="0" xfId="0"/>
    <xf numFmtId="0" fontId="15" fillId="3" borderId="2" applyAlignment="1" pivotButton="0" quotePrefix="0" xfId="0">
      <alignment horizontal="left" vertical="top"/>
    </xf>
    <xf numFmtId="0" fontId="15" fillId="7" borderId="2" applyAlignment="1" pivotButton="0" quotePrefix="0" xfId="0">
      <alignment horizontal="left" vertical="top"/>
    </xf>
    <xf numFmtId="0" fontId="15" fillId="4" borderId="2" applyAlignment="1" pivotButton="0" quotePrefix="0" xfId="0">
      <alignment horizontal="left" vertical="top"/>
    </xf>
    <xf numFmtId="0" fontId="8" fillId="8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11" fillId="0" borderId="0" applyAlignment="1" pivotButton="0" quotePrefix="0" xfId="0">
      <alignment wrapText="1"/>
    </xf>
    <xf numFmtId="0" fontId="0" fillId="0" borderId="0" pivotButton="0" quotePrefix="0" xfId="0"/>
    <xf numFmtId="0" fontId="2" fillId="8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/>
    </xf>
  </cellXfs>
  <cellStyles count="1">
    <cellStyle name="Normal" xfId="0" builtinId="0"/>
  </cellStyles>
  <dxfs count="4">
    <dxf>
      <font>
        <name val="Calibri"/>
        <color rgb="FF7F1D1D"/>
        <sz val="10"/>
      </font>
      <fill>
        <patternFill patternType="solid">
          <fgColor rgb="FFFECACA"/>
        </patternFill>
      </fill>
    </dxf>
    <dxf>
      <font>
        <name val="Calibri"/>
        <color rgb="FF7F1D1D"/>
        <sz val="10"/>
      </font>
      <fill>
        <patternFill patternType="solid">
          <fgColor rgb="FFFECACA"/>
        </patternFill>
      </fill>
    </dxf>
    <dxf>
      <font>
        <name val="Calibri"/>
        <color rgb="FF9A3412"/>
        <sz val="10"/>
      </font>
      <fill>
        <patternFill patternType="solid">
          <fgColor rgb="FFFED7AA"/>
        </patternFill>
      </fill>
    </dxf>
    <dxf>
      <font>
        <name val="Calibri"/>
        <color rgb="FF7F1D1D"/>
        <sz val="10"/>
      </font>
      <fill>
        <patternFill patternType="solid">
          <fgColor rgb="FFFECACA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ColWidth="11.5546875" defaultRowHeight="13.8"/>
  <sheetData>
    <row r="1">
      <c r="A1" t="inlineStr">
        <is>
          <t>ipccver</t>
        </is>
      </c>
      <c r="B1" t="inlineStr">
        <is>
          <t>dist</t>
        </is>
      </c>
      <c r="C1" t="inlineStr">
        <is>
          <t>ptype</t>
        </is>
      </c>
      <c r="D1" t="inlineStr">
        <is>
          <t>quality</t>
        </is>
      </c>
      <c r="E1" t="inlineStr">
        <is>
          <t>mms</t>
        </is>
      </c>
      <c r="F1" t="inlineStr">
        <is>
          <t>species</t>
        </is>
      </c>
      <c r="H1" t="inlineStr">
        <is>
          <t>subsystem</t>
        </is>
      </c>
      <c r="I1" t="inlineStr">
        <is>
          <t>sex</t>
        </is>
      </c>
      <c r="J1" t="inlineStr">
        <is>
          <t>age_class</t>
        </is>
      </c>
      <c r="K1" t="inlineStr">
        <is>
          <t>Cfi</t>
        </is>
      </c>
      <c r="L1" t="inlineStr">
        <is>
          <t>LW_default</t>
        </is>
      </c>
      <c r="M1" t="inlineStr">
        <is>
          <t>MW_default</t>
        </is>
      </c>
      <c r="N1" t="inlineStr">
        <is>
          <t>WG_default</t>
        </is>
      </c>
      <c r="O1" t="inlineStr">
        <is>
          <t>C_growth</t>
        </is>
      </c>
      <c r="Q1" t="inlineStr">
        <is>
          <t>id</t>
        </is>
      </c>
      <c r="R1" t="inlineStr">
        <is>
          <t>label</t>
        </is>
      </c>
      <c r="S1" t="inlineStr">
        <is>
          <t>versions</t>
        </is>
      </c>
      <c r="T1" t="inlineStr">
        <is>
          <t>mcf_tropical</t>
        </is>
      </c>
      <c r="U1" t="inlineStr">
        <is>
          <t>mcf_tropical_dry</t>
        </is>
      </c>
      <c r="V1" t="inlineStr">
        <is>
          <t>mcf_temperate</t>
        </is>
      </c>
      <c r="W1" t="inlineStr">
        <is>
          <t>mcf_boreal</t>
        </is>
      </c>
      <c r="X1" t="inlineStr">
        <is>
          <t>ef3</t>
        </is>
      </c>
    </row>
    <row r="2">
      <c r="A2" t="inlineStr">
        <is>
          <t>2006</t>
        </is>
      </c>
      <c r="B2" t="inlineStr">
        <is>
          <t>normal</t>
        </is>
      </c>
      <c r="C2" t="inlineStr">
        <is>
          <t>activity_data</t>
        </is>
      </c>
      <c r="D2" t="inlineStr">
        <is>
          <t>measured</t>
        </is>
      </c>
      <c r="E2" t="inlineStr">
        <is>
          <t>pasture</t>
        </is>
      </c>
      <c r="F2" t="inlineStr">
        <is>
          <t>cattle_dairy</t>
        </is>
      </c>
      <c r="H2" t="inlineStr">
        <is>
          <t>dairy_cows</t>
        </is>
      </c>
      <c r="I2" t="inlineStr">
        <is>
          <t>female</t>
        </is>
      </c>
      <c r="J2" t="inlineStr">
        <is>
          <t>adult_&gt;3yr</t>
        </is>
      </c>
      <c r="K2" t="n">
        <v>0.386</v>
      </c>
      <c r="L2" t="n">
        <v>275</v>
      </c>
      <c r="M2" t="n">
        <v>300</v>
      </c>
      <c r="N2" t="n">
        <v>0</v>
      </c>
      <c r="O2" t="n">
        <v>0.8</v>
      </c>
      <c r="Q2" t="inlineStr">
        <is>
          <t>pasture</t>
        </is>
      </c>
      <c r="R2" t="inlineStr">
        <is>
          <t>Pasture/Paddock/Range</t>
        </is>
      </c>
      <c r="S2" t="inlineStr">
        <is>
          <t>2006,2019</t>
        </is>
      </c>
      <c r="T2" t="n">
        <v>1.5</v>
      </c>
      <c r="U2" t="n">
        <v>1.5</v>
      </c>
      <c r="V2" t="n">
        <v>1</v>
      </c>
      <c r="W2" t="n">
        <v>1</v>
      </c>
      <c r="X2" t="n">
        <v>0.02</v>
      </c>
    </row>
    <row r="3">
      <c r="A3" t="inlineStr">
        <is>
          <t>2019_refinement</t>
        </is>
      </c>
      <c r="B3" t="inlineStr">
        <is>
          <t>posnorm</t>
        </is>
      </c>
      <c r="C3" t="inlineStr">
        <is>
          <t>coefficient</t>
        </is>
      </c>
      <c r="D3" t="inlineStr">
        <is>
          <t>country_specific</t>
        </is>
      </c>
      <c r="E3" t="inlineStr">
        <is>
          <t>daily_spread</t>
        </is>
      </c>
      <c r="F3" t="inlineStr">
        <is>
          <t>cattle_non_dairy</t>
        </is>
      </c>
      <c r="H3" t="inlineStr">
        <is>
          <t>other_cows</t>
        </is>
      </c>
      <c r="I3" t="inlineStr">
        <is>
          <t>female</t>
        </is>
      </c>
      <c r="J3" t="inlineStr">
        <is>
          <t>adult_&gt;3yr</t>
        </is>
      </c>
      <c r="K3" t="n">
        <v>0.322</v>
      </c>
      <c r="L3" t="n">
        <v>275</v>
      </c>
      <c r="M3" t="n">
        <v>300</v>
      </c>
      <c r="N3" t="n">
        <v>0</v>
      </c>
      <c r="O3" t="n">
        <v>0.8</v>
      </c>
      <c r="Q3" t="inlineStr">
        <is>
          <t>daily_spread</t>
        </is>
      </c>
      <c r="R3" t="inlineStr">
        <is>
          <t>Daily Spread</t>
        </is>
      </c>
      <c r="S3" t="inlineStr">
        <is>
          <t>2006,2019</t>
        </is>
      </c>
      <c r="T3" t="n">
        <v>1</v>
      </c>
      <c r="U3" t="n">
        <v>1</v>
      </c>
      <c r="V3" t="n">
        <v>0.5</v>
      </c>
      <c r="W3" t="n">
        <v>0.1</v>
      </c>
      <c r="X3" t="n">
        <v>0</v>
      </c>
    </row>
    <row r="4">
      <c r="B4" t="inlineStr">
        <is>
          <t>lognormal</t>
        </is>
      </c>
      <c r="D4" t="inlineStr">
        <is>
          <t>regional_default</t>
        </is>
      </c>
      <c r="E4" t="inlineStr">
        <is>
          <t>solid_storage</t>
        </is>
      </c>
      <c r="F4" t="inlineStr">
        <is>
          <t>buffalo</t>
        </is>
      </c>
      <c r="H4" t="inlineStr">
        <is>
          <t>bulls</t>
        </is>
      </c>
      <c r="I4" t="inlineStr">
        <is>
          <t>male</t>
        </is>
      </c>
      <c r="J4" t="inlineStr">
        <is>
          <t>adult_&gt;3yr</t>
        </is>
      </c>
      <c r="K4" t="n">
        <v>0.37</v>
      </c>
      <c r="L4" t="n">
        <v>350</v>
      </c>
      <c r="M4" t="n">
        <v>400</v>
      </c>
      <c r="N4" t="n">
        <v>0</v>
      </c>
      <c r="O4" t="n">
        <v>1.2</v>
      </c>
      <c r="Q4" t="inlineStr">
        <is>
          <t>solid_storage</t>
        </is>
      </c>
      <c r="R4" t="inlineStr">
        <is>
          <t>Solid Storage</t>
        </is>
      </c>
      <c r="S4" t="inlineStr">
        <is>
          <t>2006,2019</t>
        </is>
      </c>
      <c r="T4" t="n">
        <v>5</v>
      </c>
      <c r="U4" t="n">
        <v>5</v>
      </c>
      <c r="V4" t="n">
        <v>4</v>
      </c>
      <c r="W4" t="n">
        <v>3</v>
      </c>
      <c r="X4" t="n">
        <v>0.005</v>
      </c>
    </row>
    <row r="5">
      <c r="B5" t="inlineStr">
        <is>
          <t>beta</t>
        </is>
      </c>
      <c r="D5" t="inlineStr">
        <is>
          <t>ipcc_default</t>
        </is>
      </c>
      <c r="E5" t="inlineStr">
        <is>
          <t>solid_storage_covered</t>
        </is>
      </c>
      <c r="H5" t="inlineStr">
        <is>
          <t>oxen</t>
        </is>
      </c>
      <c r="I5" t="inlineStr">
        <is>
          <t>male</t>
        </is>
      </c>
      <c r="J5" t="inlineStr">
        <is>
          <t>adult_&gt;3yr</t>
        </is>
      </c>
      <c r="K5" t="n">
        <v>0.322</v>
      </c>
      <c r="L5" t="n">
        <v>300</v>
      </c>
      <c r="M5" t="n">
        <v>350</v>
      </c>
      <c r="N5" t="n">
        <v>0</v>
      </c>
      <c r="O5" t="n">
        <v>1</v>
      </c>
      <c r="Q5" t="inlineStr">
        <is>
          <t>solid_storage_covered</t>
        </is>
      </c>
      <c r="R5" t="inlineStr">
        <is>
          <t>Solid Storage – Covered/Compacted (2019)</t>
        </is>
      </c>
      <c r="S5" t="inlineStr">
        <is>
          <t>2019</t>
        </is>
      </c>
      <c r="T5" t="n">
        <v>4</v>
      </c>
      <c r="U5" t="n">
        <v>4</v>
      </c>
      <c r="V5" t="n">
        <v>2</v>
      </c>
      <c r="W5" t="n">
        <v>1</v>
      </c>
      <c r="X5" t="n">
        <v>0.005</v>
      </c>
    </row>
    <row r="6">
      <c r="B6" t="inlineStr">
        <is>
          <t>triangular</t>
        </is>
      </c>
      <c r="D6" t="inlineStr">
        <is>
          <t>expert_judgement</t>
        </is>
      </c>
      <c r="E6" t="inlineStr">
        <is>
          <t>dry_lot</t>
        </is>
      </c>
      <c r="H6" t="inlineStr">
        <is>
          <t>heifers</t>
        </is>
      </c>
      <c r="I6" t="inlineStr">
        <is>
          <t>female</t>
        </is>
      </c>
      <c r="J6" t="inlineStr">
        <is>
          <t>young_1-3yr</t>
        </is>
      </c>
      <c r="K6" t="n">
        <v>0.322</v>
      </c>
      <c r="L6" t="n">
        <v>200</v>
      </c>
      <c r="M6" t="n">
        <v>300</v>
      </c>
      <c r="N6" t="n">
        <v>0.25</v>
      </c>
      <c r="O6" t="n">
        <v>0.8</v>
      </c>
      <c r="Q6" t="inlineStr">
        <is>
          <t>dry_lot</t>
        </is>
      </c>
      <c r="R6" t="inlineStr">
        <is>
          <t>Dry Lot</t>
        </is>
      </c>
      <c r="S6" t="inlineStr">
        <is>
          <t>2006,2019</t>
        </is>
      </c>
      <c r="T6" t="n">
        <v>5</v>
      </c>
      <c r="U6" t="n">
        <v>5</v>
      </c>
      <c r="V6" t="n">
        <v>1.5</v>
      </c>
      <c r="W6" t="n">
        <v>1</v>
      </c>
      <c r="X6" t="n">
        <v>0.02</v>
      </c>
    </row>
    <row r="7">
      <c r="B7" t="inlineStr">
        <is>
          <t>pert</t>
        </is>
      </c>
      <c r="E7" t="inlineStr">
        <is>
          <t>deep_bedding</t>
        </is>
      </c>
      <c r="H7" t="inlineStr">
        <is>
          <t>growing_males</t>
        </is>
      </c>
      <c r="I7" t="inlineStr">
        <is>
          <t>male</t>
        </is>
      </c>
      <c r="J7" t="inlineStr">
        <is>
          <t>young_1-3yr</t>
        </is>
      </c>
      <c r="K7" t="n">
        <v>0.37</v>
      </c>
      <c r="L7" t="n">
        <v>200</v>
      </c>
      <c r="M7" t="n">
        <v>350</v>
      </c>
      <c r="N7" t="n">
        <v>0.2</v>
      </c>
      <c r="O7" t="n">
        <v>1</v>
      </c>
      <c r="Q7" t="inlineStr">
        <is>
          <t>deep_bedding</t>
        </is>
      </c>
      <c r="R7" t="inlineStr">
        <is>
          <t>Deep Bedding (&gt;1 month)</t>
        </is>
      </c>
      <c r="S7" t="inlineStr">
        <is>
          <t>2006,2019</t>
        </is>
      </c>
      <c r="T7" t="n">
        <v>30</v>
      </c>
      <c r="U7" t="n">
        <v>30</v>
      </c>
      <c r="V7" t="n">
        <v>17</v>
      </c>
      <c r="W7" t="n">
        <v>3</v>
      </c>
      <c r="X7" t="n">
        <v>0.01</v>
      </c>
    </row>
    <row r="8">
      <c r="B8" t="inlineStr">
        <is>
          <t>uniform</t>
        </is>
      </c>
      <c r="E8" t="inlineStr">
        <is>
          <t>liquid_slurry</t>
        </is>
      </c>
      <c r="H8" t="inlineStr">
        <is>
          <t>calves_female</t>
        </is>
      </c>
      <c r="I8" t="inlineStr">
        <is>
          <t>female</t>
        </is>
      </c>
      <c r="J8" t="inlineStr">
        <is>
          <t>calf_&lt;1yr</t>
        </is>
      </c>
      <c r="K8" t="n">
        <v>0.322</v>
      </c>
      <c r="L8" t="n">
        <v>60</v>
      </c>
      <c r="M8" t="n">
        <v>300</v>
      </c>
      <c r="N8" t="n">
        <v>0.3</v>
      </c>
      <c r="O8" t="n">
        <v>0.8</v>
      </c>
      <c r="Q8" t="inlineStr">
        <is>
          <t>liquid_slurry</t>
        </is>
      </c>
      <c r="R8" t="inlineStr">
        <is>
          <t>Liquid/Slurry</t>
        </is>
      </c>
      <c r="S8" t="inlineStr">
        <is>
          <t>2006,2019</t>
        </is>
      </c>
      <c r="T8" t="n">
        <v>80</v>
      </c>
      <c r="U8" t="n">
        <v>80</v>
      </c>
      <c r="V8" t="n">
        <v>35</v>
      </c>
      <c r="W8" t="n">
        <v>10</v>
      </c>
      <c r="X8" t="n">
        <v>0.005</v>
      </c>
    </row>
    <row r="9">
      <c r="B9" t="inlineStr">
        <is>
          <t>constant</t>
        </is>
      </c>
      <c r="E9" t="inlineStr">
        <is>
          <t>composting</t>
        </is>
      </c>
      <c r="H9" t="inlineStr">
        <is>
          <t>calves_male</t>
        </is>
      </c>
      <c r="I9" t="inlineStr">
        <is>
          <t>male</t>
        </is>
      </c>
      <c r="J9" t="inlineStr">
        <is>
          <t>calf_&lt;1yr</t>
        </is>
      </c>
      <c r="K9" t="n">
        <v>0.37</v>
      </c>
      <c r="L9" t="n">
        <v>60</v>
      </c>
      <c r="M9" t="n">
        <v>350</v>
      </c>
      <c r="N9" t="n">
        <v>0.3</v>
      </c>
      <c r="O9" t="n">
        <v>1</v>
      </c>
      <c r="Q9" t="inlineStr">
        <is>
          <t>composting</t>
        </is>
      </c>
      <c r="R9" t="inlineStr">
        <is>
          <t>Composting</t>
        </is>
      </c>
      <c r="S9" t="inlineStr">
        <is>
          <t>2006,2019</t>
        </is>
      </c>
      <c r="T9" t="n">
        <v>1.5</v>
      </c>
      <c r="U9" t="n">
        <v>1.5</v>
      </c>
      <c r="V9" t="n">
        <v>1</v>
      </c>
      <c r="W9" t="n">
        <v>0.5</v>
      </c>
      <c r="X9" t="n">
        <v>0.006</v>
      </c>
    </row>
    <row r="10">
      <c r="B10" t="inlineStr">
        <is>
          <t>tnorm_0_1</t>
        </is>
      </c>
      <c r="E10" t="inlineStr">
        <is>
          <t>lagoon</t>
        </is>
      </c>
      <c r="H10" t="inlineStr">
        <is>
          <t>feedlot_cattle</t>
        </is>
      </c>
      <c r="I10" t="inlineStr">
        <is>
          <t>mixed</t>
        </is>
      </c>
      <c r="J10" t="inlineStr">
        <is>
          <t>young_1-3yr</t>
        </is>
      </c>
      <c r="K10" t="n">
        <v>0.37</v>
      </c>
      <c r="L10" t="n">
        <v>250</v>
      </c>
      <c r="M10" t="n">
        <v>400</v>
      </c>
      <c r="N10" t="n">
        <v>1</v>
      </c>
      <c r="O10" t="n">
        <v>1</v>
      </c>
      <c r="Q10" t="inlineStr">
        <is>
          <t>lagoon</t>
        </is>
      </c>
      <c r="R10" t="inlineStr">
        <is>
          <t>Anaerobic Lagoon</t>
        </is>
      </c>
      <c r="S10" t="inlineStr">
        <is>
          <t>2006,2019</t>
        </is>
      </c>
      <c r="T10" t="n">
        <v>80</v>
      </c>
      <c r="U10" t="n">
        <v>80</v>
      </c>
      <c r="V10" t="n">
        <v>66</v>
      </c>
      <c r="W10" t="n">
        <v>66</v>
      </c>
      <c r="X10" t="n">
        <v>0</v>
      </c>
    </row>
    <row r="11">
      <c r="E11" t="inlineStr">
        <is>
          <t>anaerobic_digester</t>
        </is>
      </c>
      <c r="Q11" t="inlineStr">
        <is>
          <t>anaerobic_digester</t>
        </is>
      </c>
      <c r="R11" t="inlineStr">
        <is>
          <t>Anaerobic Digester / Biogas (2019)</t>
        </is>
      </c>
      <c r="S11" t="inlineStr">
        <is>
          <t>2019</t>
        </is>
      </c>
      <c r="T11" t="n">
        <v>3.5</v>
      </c>
      <c r="U11" t="n">
        <v>3.5</v>
      </c>
      <c r="V11" t="n">
        <v>1</v>
      </c>
      <c r="W11" t="n">
        <v>1</v>
      </c>
      <c r="X11" t="n">
        <v>0.0005999999999999999</v>
      </c>
    </row>
    <row r="12">
      <c r="E12" t="inlineStr">
        <is>
          <t>aerobic_treatment</t>
        </is>
      </c>
      <c r="Q12" t="inlineStr">
        <is>
          <t>aerobic_treatment</t>
        </is>
      </c>
      <c r="R12" t="inlineStr">
        <is>
          <t>Aerobic Treatment (2019)</t>
        </is>
      </c>
      <c r="S12" t="inlineStr">
        <is>
          <t>2019</t>
        </is>
      </c>
      <c r="T12" t="n">
        <v>0</v>
      </c>
      <c r="U12" t="n">
        <v>0</v>
      </c>
      <c r="V12" t="n">
        <v>0</v>
      </c>
      <c r="W12" t="n">
        <v>0</v>
      </c>
      <c r="X12" t="n">
        <v>0.005</v>
      </c>
    </row>
    <row r="13">
      <c r="E13" t="inlineStr">
        <is>
          <t>burned_for_fuel</t>
        </is>
      </c>
      <c r="Q13" t="inlineStr">
        <is>
          <t>burned_for_fuel</t>
        </is>
      </c>
      <c r="R13" t="inlineStr">
        <is>
          <t>Burned for Fuel (2019)</t>
        </is>
      </c>
      <c r="S13" t="inlineStr">
        <is>
          <t>2019</t>
        </is>
      </c>
      <c r="T13" t="n">
        <v>10</v>
      </c>
      <c r="U13" t="n">
        <v>10</v>
      </c>
      <c r="V13" t="n">
        <v>10</v>
      </c>
      <c r="W13" t="n">
        <v>10</v>
      </c>
      <c r="X13" t="n">
        <v>0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2D6A4F"/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ColWidth="11.5546875" defaultRowHeight="13.8"/>
  <cols>
    <col width="10.6640625" customWidth="1" style="27" min="1" max="1"/>
    <col width="90.6640625" customWidth="1" style="27" min="2" max="2"/>
    <col width="70.6640625" customWidth="1" style="27" min="3" max="3"/>
  </cols>
  <sheetData>
    <row r="1" ht="36" customHeight="1" s="27">
      <c r="A1" s="25" t="inlineStr">
        <is>
          <t>Cattle GHG Uncertainty Calculator — Input Template</t>
        </is>
      </c>
    </row>
    <row r="3">
      <c r="A3" s="1" t="inlineStr">
        <is>
          <t>Colour</t>
        </is>
      </c>
      <c r="B3" s="1" t="inlineStr">
        <is>
          <t>Meaning</t>
        </is>
      </c>
    </row>
    <row r="4">
      <c r="A4" s="2" t="inlineStr">
        <is>
          <t>Pale yellow</t>
        </is>
      </c>
      <c r="B4" s="2" t="inlineStr">
        <is>
          <t>REQUIRED — you must fill this in</t>
        </is>
      </c>
    </row>
    <row r="5">
      <c r="A5" s="3" t="inlineStr">
        <is>
          <t>Pale green</t>
        </is>
      </c>
      <c r="B5" s="3" t="inlineStr">
        <is>
          <t>CONTROLLED — choose from the dropdown list</t>
        </is>
      </c>
    </row>
    <row r="6">
      <c r="A6" s="4" t="inlineStr">
        <is>
          <t>Pale blue</t>
        </is>
      </c>
      <c r="B6" s="4" t="inlineStr">
        <is>
          <t>PRE-FILLED — read the value, keep or override (emission factors pre-filled with IPCC defaults)</t>
        </is>
      </c>
    </row>
    <row r="7">
      <c r="A7" s="5" t="inlineStr">
        <is>
          <t>Light grey</t>
        </is>
      </c>
      <c r="B7" s="5" t="inlineStr">
        <is>
          <t>AUTO-COMPUTED — calculated from your inputs, do not edit</t>
        </is>
      </c>
    </row>
    <row r="8">
      <c r="A8" s="6" t="inlineStr">
        <is>
          <t>White</t>
        </is>
      </c>
      <c r="B8" s="6" t="inlineStr">
        <is>
          <t>OPTIONAL — free text or leave blank (white lower_bound/upper_bound columns override the symmetric auto-computed bounds for asymmetric distributions)</t>
        </is>
      </c>
    </row>
    <row r="10">
      <c r="A10" s="1" t="inlineStr">
        <is>
          <t>Step</t>
        </is>
      </c>
      <c r="B10" s="1" t="inlineStr">
        <is>
          <t>Action</t>
        </is>
      </c>
    </row>
    <row r="11" ht="30" customHeight="1" s="27">
      <c r="A11" s="7" t="inlineStr">
        <is>
          <t>Step 1</t>
        </is>
      </c>
      <c r="B11" s="8" t="inlineStr">
        <is>
          <t>Fill in the Inventory_Metadata sheet (country, species, inventory year). Note: MCF values for manure must be entered manually in Manure_Management — see Vocab sheet for IPCC Table 10.17 reference values by climate zone.</t>
        </is>
      </c>
    </row>
    <row r="12" ht="30" customHeight="1" s="27">
      <c r="A12" s="7" t="inlineStr">
        <is>
          <t>Step 2</t>
        </is>
      </c>
      <c r="B12" s="8" t="inlineStr">
        <is>
          <t>In the Parameters sheet, fill in cattle_type (col A: 'dairy' or 'other'), aggregation_level (col B: your region/AEZ/system name), and optionally sub_category (col C: cows/heifers/calves/etc.).</t>
        </is>
      </c>
    </row>
    <row r="13" ht="30" customHeight="1" s="27">
      <c r="A13" s="7" t="inlineStr">
        <is>
          <t>Step 3</t>
        </is>
      </c>
      <c r="B13" s="8" t="inlineStr">
        <is>
          <t>Fill in the VALUE (col G) for each parameter. Emission factor parameters (Cfi, Ym, Bo, etc.) are pre-filled with IPCC defaults — update with your own values if available.</t>
        </is>
      </c>
    </row>
    <row r="14" ht="30" customHeight="1" s="27">
      <c r="A14" s="7" t="inlineStr">
        <is>
          <t>Step 4</t>
        </is>
      </c>
      <c r="B14" s="8" t="inlineStr">
        <is>
          <t>Fill in UNCERTAINTY_PCT (col H) for symmetric distributions — LOWER and UPPER bounds auto-compute. For asymmetric distributions (triangular/PERT): also fill LOWER_BOUND (col I) and UPPER_BOUND (col J) with the min/max values.</t>
        </is>
      </c>
    </row>
    <row r="15" ht="30" customHeight="1" s="27">
      <c r="A15" s="7" t="inlineStr">
        <is>
          <t>Step 5</t>
        </is>
      </c>
      <c r="B15" s="8" t="inlineStr">
        <is>
          <t>To add a second sub-category: copy the parameter rows, paste below, change cattle_type/aggregation_level/sub_category.</t>
        </is>
      </c>
    </row>
    <row r="16" ht="30" customHeight="1" s="27">
      <c r="A16" s="7" t="inlineStr">
        <is>
          <t>Step 6</t>
        </is>
      </c>
      <c r="B16" s="8" t="inlineStr">
        <is>
          <t>Fill in the Manure_Management sheet: one row per MMS type per sub-category. Enter MCF and EF3 values (look up IPCC Table 10.17 and 10.21 in the Vocab sheet). Fractions must sum to 100% per sub-category.</t>
        </is>
      </c>
    </row>
    <row r="17" ht="30" customHeight="1" s="27">
      <c r="A17" s="7" t="inlineStr">
        <is>
          <t>Step 7</t>
        </is>
      </c>
      <c r="B17" s="8" t="inlineStr">
        <is>
          <t>Optionally fill in the Parameter_TimeSeries sheet with historical annual values (one row per year, one column per parameter) to enable automatic activity data correlation analysis.</t>
        </is>
      </c>
    </row>
    <row r="20">
      <c r="A20" s="1" t="inlineStr">
        <is>
          <t>Sheet</t>
        </is>
      </c>
      <c r="B20" s="1" t="inlineStr">
        <is>
          <t>Description</t>
        </is>
      </c>
    </row>
    <row r="21" ht="20.4" customHeight="1" s="27">
      <c r="A21" s="8" t="inlineStr">
        <is>
          <t>Inventory_Metadata</t>
        </is>
      </c>
      <c r="B21" s="8" t="inlineStr">
        <is>
          <t>Country, reporting year, species, IPCC guidelines version.</t>
        </is>
      </c>
    </row>
    <row r="22" ht="20.4" customHeight="1" s="27">
      <c r="A22" s="8" t="inlineStr">
        <is>
          <t>Parameters</t>
        </is>
      </c>
      <c r="B22" s="8" t="inlineStr">
        <is>
          <t>All parameters for each animal sub-category. 3 user-defined naming columns (cattle_type, aggregation_level, sub_category). Emission factors pre-filled with IPCC defaults. Supports symmetric (uncertainty_pct) and asymmetric (lower_bound, upper_bound) distributions.</t>
        </is>
      </c>
    </row>
    <row r="23" ht="20.4" customHeight="1" s="27">
      <c r="A23" s="8" t="inlineStr">
        <is>
          <t>Manure_Management</t>
        </is>
      </c>
      <c r="B23" s="8" t="inlineStr">
        <is>
          <t>Manure management system allocation. Enter MCF and EF3 values manually (see Vocab for IPCC reference tables). Fractions must sum to 100 per sub-category. Full distribution support for MCF and EF3.</t>
        </is>
      </c>
    </row>
    <row r="24" ht="20.4" customHeight="1" s="27">
      <c r="A24" s="8" t="inlineStr">
        <is>
          <t>Parameter_TimeSeries</t>
        </is>
      </c>
      <c r="B24" s="8" t="inlineStr">
        <is>
          <t>CORRELATIONS — one row per year, one column per activity data parameter. Fill in historical values; the app computes a Pearson correlation matrix automatically on upload (Tab 4). You only need columns you have data for.</t>
        </is>
      </c>
    </row>
    <row r="25">
      <c r="A25" s="8" t="inlineStr">
        <is>
          <t>Vocab</t>
        </is>
      </c>
      <c r="B25" s="8" t="inlineStr">
        <is>
          <t>Parameter catalogue + IPCC MCF reference table (Table 10.17) + controlled vocabulary terms and definitions.</t>
        </is>
      </c>
    </row>
  </sheetData>
  <mergeCells count="1">
    <mergeCell ref="A1:C1"/>
  </mergeCells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2D6A4F"/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C5" sqref="C5"/>
    </sheetView>
  </sheetViews>
  <sheetFormatPr baseColWidth="8" defaultColWidth="11.5546875" defaultRowHeight="13.8"/>
  <cols>
    <col width="4.6640625" customWidth="1" style="27" min="1" max="1"/>
    <col width="24.6640625" customWidth="1" style="27" min="2" max="2"/>
    <col width="36.6640625" customWidth="1" style="27" min="3" max="3"/>
    <col width="60.6640625" customWidth="1" style="27" min="4" max="4"/>
  </cols>
  <sheetData>
    <row r="1" ht="24" customHeight="1" s="27">
      <c r="A1" s="1" t="inlineStr"/>
      <c r="B1" s="1" t="inlineStr">
        <is>
          <t>Field</t>
        </is>
      </c>
      <c r="C1" s="1" t="inlineStr">
        <is>
          <t>Value</t>
        </is>
      </c>
      <c r="D1" s="1" t="inlineStr">
        <is>
          <t>Hint / valid options</t>
        </is>
      </c>
    </row>
    <row r="2" ht="24" customHeight="1" s="27">
      <c r="B2" s="9" t="inlineStr">
        <is>
          <t>Country / region</t>
        </is>
      </c>
      <c r="C2" s="21" t="inlineStr">
        <is>
          <t>Country (specify)</t>
        </is>
      </c>
      <c r="D2" s="8" t="inlineStr">
        <is>
          <t>Free text, e.g. Country-X or Region-A</t>
        </is>
      </c>
    </row>
    <row r="3" ht="24" customHeight="1" s="27">
      <c r="B3" s="9" t="inlineStr">
        <is>
          <t>Inventory year</t>
        </is>
      </c>
      <c r="C3" s="2" t="n">
        <v>2021</v>
      </c>
      <c r="D3" s="8" t="inlineStr">
        <is>
          <t>Integer year, e.g. 2021</t>
        </is>
      </c>
    </row>
    <row r="4" ht="24" customHeight="1" s="27">
      <c r="B4" s="9" t="inlineStr">
        <is>
          <t>Livestock species</t>
        </is>
      </c>
      <c r="C4" s="2" t="inlineStr">
        <is>
          <t>cattle_dairy</t>
        </is>
      </c>
      <c r="D4" s="8" t="inlineStr">
        <is>
          <t>Select from dropdown</t>
        </is>
      </c>
    </row>
    <row r="5" ht="24" customHeight="1" s="27">
      <c r="B5" s="9" t="inlineStr">
        <is>
          <t>IPCC Guidelines version</t>
        </is>
      </c>
      <c r="C5" s="6" t="inlineStr">
        <is>
          <t>2019_refinement</t>
        </is>
      </c>
      <c r="D5" s="8" t="inlineStr">
        <is>
          <t>Pre-set from your template download choice. Re-download from Tab 1 if you need to switch IPCC versions (the MMS dropdown is filtered to the version you pick).</t>
        </is>
      </c>
    </row>
    <row r="6" ht="24" customHeight="1" s="27">
      <c r="B6" s="9" t="inlineStr">
        <is>
          <t>Prepared by</t>
        </is>
      </c>
      <c r="C6" s="6" t="inlineStr"/>
      <c r="D6" s="8" t="inlineStr">
        <is>
          <t>Agency / author name</t>
        </is>
      </c>
    </row>
    <row r="7" ht="24" customHeight="1" s="27">
      <c r="B7" s="9" t="inlineStr">
        <is>
          <t>Notes</t>
        </is>
      </c>
      <c r="C7" s="6" t="inlineStr"/>
      <c r="D7" s="8" t="inlineStr">
        <is>
          <t>Scope, caveats, deviations from standard methodology. Note: MCF values for manure must be entered manually in Manure_Management — see Vocab sheet for IPCC Table 10.17 reference.</t>
        </is>
      </c>
    </row>
    <row r="8" ht="24" customHeight="1" s="27"/>
  </sheetData>
  <pageMargins left="0.7" right="0.7" top="0.75" bottom="0.75" header="0.3" footer="0.3"/>
  <pageSetup orientation="portrait" paperSize="9" horizontalDpi="300" verticalDpi="300"/>
</worksheet>
</file>

<file path=xl/worksheets/sheet4.xml><?xml version="1.0" encoding="utf-8"?>
<worksheet xmlns="http://schemas.openxmlformats.org/spreadsheetml/2006/main">
  <sheetPr filterMode="1">
    <tabColor rgb="FF1B4332"/>
    <outlinePr summaryBelow="1" summaryRight="1"/>
    <pageSetUpPr/>
  </sheetPr>
  <dimension ref="A1:P204"/>
  <sheetViews>
    <sheetView workbookViewId="0">
      <pane xSplit="1" ySplit="3" topLeftCell="D4" activePane="bottomRight" state="frozen"/>
      <selection pane="topRight" activeCell="A1" sqref="A1"/>
      <selection pane="bottomLeft" activeCell="A1" sqref="A1"/>
      <selection pane="bottomRight" activeCell="G5" sqref="G5"/>
    </sheetView>
  </sheetViews>
  <sheetFormatPr baseColWidth="8" defaultColWidth="11.5546875" defaultRowHeight="13.8"/>
  <cols>
    <col width="14.6640625" customWidth="1" style="27" min="1" max="1"/>
    <col width="20.6640625" customWidth="1" style="27" min="2" max="2"/>
    <col width="16.6640625" customWidth="1" style="27" min="3" max="3"/>
    <col width="15.6640625" customWidth="1" style="27" min="4" max="4"/>
    <col width="46.6640625" customWidth="1" style="27" min="5" max="5"/>
    <col width="16.6640625" customWidth="1" style="27" min="6" max="6"/>
    <col width="10.6640625" customWidth="1" style="27" min="7" max="7"/>
    <col width="14.6640625" customWidth="1" style="27" min="8" max="8"/>
    <col width="12.6640625" customWidth="1" style="27" min="9" max="11"/>
    <col width="10.6640625" customWidth="1" style="27" min="12" max="13"/>
    <col width="14.6640625" customWidth="1" style="27" min="14" max="14"/>
    <col width="12.6640625" customWidth="1" style="27" min="15" max="15"/>
    <col width="22.6640625" customWidth="1" style="27" min="16" max="16"/>
  </cols>
  <sheetData>
    <row r="1" ht="43.95" customHeight="1" s="27">
      <c r="A1" s="24" t="inlineStr">
        <is>
          <t>HOW TO USE: YELLOW = core activity data — enter your own values. ORANGE = technical IPCC coefficient — pre-filled with defaults from Penman et al. (2000); uncertainty ranges from Penman (2000) / Monni et al. (2007); edit if you have country-specific values. GREEN = dropdown. BLUE = pre-filled info. GREY = auto-computed. PERCENTAGE FIELDS (DE_pct, milk_fat, CP_pct, Ym_pct, uncertainty_pct, etc.): enter the bare number, e.g. '45' for 45% — do NOT include the '%' symbol. uncertainty_pct is the ±% half-width of the 95% CI. For symmetric distributions: fill value (G) + uncertainty_pct (H). For asymmetric distributions (PERT/lognormal): fill lower_bound (I) and upper_bound (J) instead — these override the pct formula. Copy rows 4 onwards to add more sub-categories.</t>
        </is>
      </c>
    </row>
    <row r="2" hidden="1" ht="13.95" customHeight="1" s="27">
      <c r="A2" s="10" t="inlineStr">
        <is>
          <t>REQUIRED</t>
        </is>
      </c>
      <c r="B2" s="10" t="inlineStr">
        <is>
          <t>REQUIRED</t>
        </is>
      </c>
      <c r="C2" s="10" t="inlineStr">
        <is>
          <t>OPTIONAL</t>
        </is>
      </c>
      <c r="D2" s="10" t="inlineStr">
        <is>
          <t>INFO</t>
        </is>
      </c>
      <c r="E2" s="10" t="inlineStr">
        <is>
          <t>INFO</t>
        </is>
      </c>
      <c r="F2" s="10" t="inlineStr">
        <is>
          <t>INFO</t>
        </is>
      </c>
      <c r="G2" s="10" t="inlineStr">
        <is>
          <t>REQUIRED</t>
        </is>
      </c>
      <c r="H2" s="10" t="inlineStr">
        <is>
          <t>REQUIRED</t>
        </is>
      </c>
      <c r="I2" s="10" t="inlineStr">
        <is>
          <t>OPT.OVERRIDE</t>
        </is>
      </c>
      <c r="J2" s="10" t="inlineStr">
        <is>
          <t>OPT.OVERRIDE</t>
        </is>
      </c>
      <c r="K2" s="10" t="inlineStr">
        <is>
          <t>DROPDOWN</t>
        </is>
      </c>
      <c r="L2" s="10" t="inlineStr">
        <is>
          <t>AUTO</t>
        </is>
      </c>
      <c r="M2" s="10" t="inlineStr">
        <is>
          <t>AUTO</t>
        </is>
      </c>
      <c r="N2" s="10" t="inlineStr">
        <is>
          <t>INFO</t>
        </is>
      </c>
      <c r="O2" s="10" t="inlineStr">
        <is>
          <t>INFO</t>
        </is>
      </c>
      <c r="P2" s="10" t="inlineStr">
        <is>
          <t>OPTIONAL</t>
        </is>
      </c>
    </row>
    <row r="3" hidden="1" ht="28.05" customHeight="1" s="27">
      <c r="A3" s="1" t="inlineStr">
        <is>
          <t>cattle_type</t>
        </is>
      </c>
      <c r="B3" s="1" t="inlineStr">
        <is>
          <t>aggregation_level</t>
        </is>
      </c>
      <c r="C3" s="1" t="inlineStr">
        <is>
          <t>sub_category</t>
        </is>
      </c>
      <c r="D3" s="1" t="inlineStr">
        <is>
          <t>parameter</t>
        </is>
      </c>
      <c r="E3" s="1" t="inlineStr">
        <is>
          <t>definition</t>
        </is>
      </c>
      <c r="F3" s="1" t="inlineStr">
        <is>
          <t>unit</t>
        </is>
      </c>
      <c r="G3" s="1" t="inlineStr">
        <is>
          <t>value</t>
        </is>
      </c>
      <c r="H3" s="1" t="inlineStr">
        <is>
          <t>uncertainty_pct</t>
        </is>
      </c>
      <c r="I3" s="1" t="inlineStr">
        <is>
          <t>lower_bound</t>
        </is>
      </c>
      <c r="J3" s="1" t="inlineStr">
        <is>
          <t>upper_bound</t>
        </is>
      </c>
      <c r="K3" s="1" t="inlineStr">
        <is>
          <t>distribution</t>
        </is>
      </c>
      <c r="L3" s="1" t="inlineStr">
        <is>
          <t>lower</t>
        </is>
      </c>
      <c r="M3" s="1" t="inlineStr">
        <is>
          <t>upper</t>
        </is>
      </c>
      <c r="N3" s="1" t="inlineStr">
        <is>
          <t>param_type</t>
        </is>
      </c>
      <c r="O3" s="1" t="inlineStr">
        <is>
          <t>ipcc_ref</t>
        </is>
      </c>
      <c r="P3" s="1" t="inlineStr">
        <is>
          <t>data_source</t>
        </is>
      </c>
    </row>
    <row r="4" ht="18" customHeight="1" s="27">
      <c r="A4" s="2" t="inlineStr">
        <is>
          <t>dairy</t>
        </is>
      </c>
      <c r="B4" s="21" t="inlineStr">
        <is>
          <t>Intensive</t>
        </is>
      </c>
      <c r="C4" s="22" t="inlineStr">
        <is>
          <t>DINT_cow</t>
        </is>
      </c>
      <c r="D4" s="4" t="inlineStr">
        <is>
          <t>N</t>
        </is>
      </c>
      <c r="E4" s="4" t="inlineStr">
        <is>
          <t>Number of animals in this sub-category</t>
        </is>
      </c>
      <c r="F4" s="4" t="inlineStr">
        <is>
          <t>head</t>
        </is>
      </c>
      <c r="G4" s="2" t="n">
        <v>19545</v>
      </c>
      <c r="H4" s="2" t="n">
        <v>2.1</v>
      </c>
      <c r="I4" s="6" t="n"/>
      <c r="J4" s="6" t="n"/>
      <c r="K4" s="3" t="inlineStr">
        <is>
          <t>normal</t>
        </is>
      </c>
      <c r="L4" s="5">
        <f>IF(I4&lt;&gt;"",I4,IF(AND(G4&lt;&gt;"",H4&lt;&gt;""),G4*(1-H4/100),""))</f>
        <v/>
      </c>
      <c r="M4" s="5">
        <f>IF(J4&lt;&gt;"",J4,IF(AND(G4&lt;&gt;"",H4&lt;&gt;""),G4*(1+H4/100),""))</f>
        <v/>
      </c>
      <c r="N4" s="4" t="inlineStr">
        <is>
          <t>activity_data</t>
        </is>
      </c>
      <c r="O4" s="4" t="inlineStr"/>
      <c r="P4" s="6" t="inlineStr"/>
    </row>
    <row r="5" ht="18" customHeight="1" s="27">
      <c r="A5" s="2" t="inlineStr">
        <is>
          <t>dairy</t>
        </is>
      </c>
      <c r="B5" s="21" t="inlineStr">
        <is>
          <t>Intensive</t>
        </is>
      </c>
      <c r="C5" s="22" t="inlineStr">
        <is>
          <t>DINT_cow</t>
        </is>
      </c>
      <c r="D5" s="4" t="inlineStr">
        <is>
          <t>W</t>
        </is>
      </c>
      <c r="E5" s="4" t="inlineStr">
        <is>
          <t>Average live body weight of the animals</t>
        </is>
      </c>
      <c r="F5" s="4" t="inlineStr">
        <is>
          <t>kg</t>
        </is>
      </c>
      <c r="G5" s="2" t="n">
        <v>539.3</v>
      </c>
      <c r="H5" s="2" t="n">
        <v>9</v>
      </c>
      <c r="I5" s="6" t="n"/>
      <c r="J5" s="6" t="n"/>
      <c r="K5" s="3" t="inlineStr">
        <is>
          <t>normal</t>
        </is>
      </c>
      <c r="L5" s="5">
        <f>IF(I5&lt;&gt;"",I5,IF(AND(G5&lt;&gt;"",H5&lt;&gt;""),G5*(1-H5/100),""))</f>
        <v/>
      </c>
      <c r="M5" s="5">
        <f>IF(J5&lt;&gt;"",J5,IF(AND(G5&lt;&gt;"",H5&lt;&gt;""),G5*(1+H5/100),""))</f>
        <v/>
      </c>
      <c r="N5" s="4" t="inlineStr">
        <is>
          <t>coefficient</t>
        </is>
      </c>
      <c r="O5" s="4" t="inlineStr">
        <is>
          <t>Table 10A.2</t>
        </is>
      </c>
      <c r="P5" s="6" t="inlineStr"/>
    </row>
    <row r="6" ht="18" customHeight="1" s="27">
      <c r="A6" s="2" t="inlineStr">
        <is>
          <t>dairy</t>
        </is>
      </c>
      <c r="B6" s="21" t="inlineStr">
        <is>
          <t>Intensive</t>
        </is>
      </c>
      <c r="C6" s="22" t="inlineStr">
        <is>
          <t>DINT_cow</t>
        </is>
      </c>
      <c r="D6" s="4" t="inlineStr">
        <is>
          <t>MW</t>
        </is>
      </c>
      <c r="E6" s="4" t="inlineStr">
        <is>
          <t>Mature (adult) body weight of the animals</t>
        </is>
      </c>
      <c r="F6" s="4" t="inlineStr">
        <is>
          <t>kg</t>
        </is>
      </c>
      <c r="G6" s="2" t="n">
        <v>539</v>
      </c>
      <c r="H6" s="2" t="n">
        <v>0</v>
      </c>
      <c r="I6" s="6" t="n"/>
      <c r="J6" s="6" t="n"/>
      <c r="K6" s="3" t="inlineStr">
        <is>
          <t>normal</t>
        </is>
      </c>
      <c r="L6" s="5">
        <f>IF(I6&lt;&gt;"",I6,IF(AND(G6&lt;&gt;"",H6&lt;&gt;""),G6*(1-H6/100),""))</f>
        <v/>
      </c>
      <c r="M6" s="5">
        <f>IF(J6&lt;&gt;"",J6,IF(AND(G6&lt;&gt;"",H6&lt;&gt;""),G6*(1+H6/100),""))</f>
        <v/>
      </c>
      <c r="N6" s="4" t="inlineStr">
        <is>
          <t>coefficient</t>
        </is>
      </c>
      <c r="O6" s="4" t="inlineStr">
        <is>
          <t>Table 10A.2</t>
        </is>
      </c>
      <c r="P6" s="6" t="inlineStr"/>
    </row>
    <row r="7" ht="18" customHeight="1" s="27">
      <c r="A7" s="2" t="inlineStr">
        <is>
          <t>dairy</t>
        </is>
      </c>
      <c r="B7" s="21" t="inlineStr">
        <is>
          <t>Intensive</t>
        </is>
      </c>
      <c r="C7" s="22" t="inlineStr">
        <is>
          <t>DINT_cow</t>
        </is>
      </c>
      <c r="D7" s="4" t="inlineStr">
        <is>
          <t>WG</t>
        </is>
      </c>
      <c r="E7" s="4" t="inlineStr">
        <is>
          <t>Average daily weight gain — set 0 for non-growing (adult) animals</t>
        </is>
      </c>
      <c r="F7" s="4" t="inlineStr">
        <is>
          <t>kg/day</t>
        </is>
      </c>
      <c r="G7" s="2" t="n">
        <v>0</v>
      </c>
      <c r="H7" s="2" t="n">
        <v>0</v>
      </c>
      <c r="I7" s="6" t="n">
        <v>0</v>
      </c>
      <c r="J7" s="6" t="n">
        <v>0</v>
      </c>
      <c r="K7" s="3" t="inlineStr">
        <is>
          <t>pert</t>
        </is>
      </c>
      <c r="L7" s="5">
        <f>IF(I7&lt;&gt;"",I7,IF(AND(G7&lt;&gt;"",H7&lt;&gt;""),G7*(1-H7/100),""))</f>
        <v/>
      </c>
      <c r="M7" s="5">
        <f>IF(J7&lt;&gt;"",J7,IF(AND(G7&lt;&gt;"",H7&lt;&gt;""),G7*(1+H7/100),""))</f>
        <v/>
      </c>
      <c r="N7" s="4" t="inlineStr">
        <is>
          <t>coefficient</t>
        </is>
      </c>
      <c r="O7" s="4" t="inlineStr">
        <is>
          <t>Table 10A.1</t>
        </is>
      </c>
      <c r="P7" s="6" t="inlineStr"/>
    </row>
    <row r="8" ht="18" customHeight="1" s="27">
      <c r="A8" s="2" t="inlineStr">
        <is>
          <t>dairy</t>
        </is>
      </c>
      <c r="B8" s="21" t="inlineStr">
        <is>
          <t>Intensive</t>
        </is>
      </c>
      <c r="C8" s="22" t="inlineStr">
        <is>
          <t>DINT_cow</t>
        </is>
      </c>
      <c r="D8" s="4" t="inlineStr">
        <is>
          <t>Milk</t>
        </is>
      </c>
      <c r="E8" s="4" t="inlineStr">
        <is>
          <t>Daily milk yield per lactating cow — set 0 for non-dairy sub-categories</t>
        </is>
      </c>
      <c r="F8" s="4" t="inlineStr">
        <is>
          <t>kg/head/day</t>
        </is>
      </c>
      <c r="G8" s="2" t="n">
        <v>15.22</v>
      </c>
      <c r="H8" s="2" t="n">
        <v>13.5</v>
      </c>
      <c r="I8" s="6" t="n"/>
      <c r="J8" s="6" t="n"/>
      <c r="K8" s="3" t="inlineStr">
        <is>
          <t>normal</t>
        </is>
      </c>
      <c r="L8" s="5">
        <f>IF(I8&lt;&gt;"",I8,IF(AND(G8&lt;&gt;"",H8&lt;&gt;""),G8*(1-H8/100),""))</f>
        <v/>
      </c>
      <c r="M8" s="5">
        <f>IF(J8&lt;&gt;"",J8,IF(AND(G8&lt;&gt;"",H8&lt;&gt;""),G8*(1+H8/100),""))</f>
        <v/>
      </c>
      <c r="N8" s="4" t="inlineStr">
        <is>
          <t>coefficient</t>
        </is>
      </c>
      <c r="O8" s="4" t="inlineStr"/>
      <c r="P8" s="6" t="inlineStr"/>
    </row>
    <row r="9" ht="18" customHeight="1" s="27">
      <c r="A9" s="2" t="inlineStr">
        <is>
          <t>dairy</t>
        </is>
      </c>
      <c r="B9" s="21" t="inlineStr">
        <is>
          <t>Intensive</t>
        </is>
      </c>
      <c r="C9" s="22" t="inlineStr">
        <is>
          <t>DINT_cow</t>
        </is>
      </c>
      <c r="D9" s="4" t="inlineStr">
        <is>
          <t>Fat</t>
        </is>
      </c>
      <c r="E9" s="4" t="inlineStr">
        <is>
          <t>Milk fat content of the diet</t>
        </is>
      </c>
      <c r="F9" s="4" t="inlineStr">
        <is>
          <t>%</t>
        </is>
      </c>
      <c r="G9" s="2" t="n">
        <v>3.8</v>
      </c>
      <c r="H9" s="2" t="n">
        <v>10</v>
      </c>
      <c r="I9" s="6" t="n"/>
      <c r="J9" s="6" t="n"/>
      <c r="K9" s="3" t="inlineStr">
        <is>
          <t>normal</t>
        </is>
      </c>
      <c r="L9" s="5">
        <f>IF(I9&lt;&gt;"",I9,IF(AND(G9&lt;&gt;"",H9&lt;&gt;""),G9*(1-H9/100),""))</f>
        <v/>
      </c>
      <c r="M9" s="5">
        <f>IF(J9&lt;&gt;"",J9,IF(AND(G9&lt;&gt;"",H9&lt;&gt;""),G9*(1+H9/100),""))</f>
        <v/>
      </c>
      <c r="N9" s="4" t="inlineStr">
        <is>
          <t>coefficient</t>
        </is>
      </c>
      <c r="O9" s="4" t="inlineStr"/>
      <c r="P9" s="6" t="inlineStr"/>
    </row>
    <row r="10" ht="18" customHeight="1" s="27">
      <c r="A10" s="2" t="inlineStr">
        <is>
          <t>dairy</t>
        </is>
      </c>
      <c r="B10" s="21" t="inlineStr">
        <is>
          <t>Intensive</t>
        </is>
      </c>
      <c r="C10" s="22" t="inlineStr">
        <is>
          <t>DINT_cow</t>
        </is>
      </c>
      <c r="D10" s="4" t="inlineStr">
        <is>
          <t>pct_calving</t>
        </is>
      </c>
      <c r="E10" s="4" t="inlineStr">
        <is>
          <t>Fraction of females that give birth (calve) in a year (0 to 1) - IPCC 2019 Refinement Vol.4 Ch.10 §10.5. NOT the same as 'snapshot % lactating'; this is the annual calving rate, which weights NEl, NEp and N excretion across the sub-category.</t>
        </is>
      </c>
      <c r="F10" s="4" t="inlineStr">
        <is>
          <t>fraction (0-1)</t>
        </is>
      </c>
      <c r="G10" s="2" t="n">
        <v>0.8100000000000001</v>
      </c>
      <c r="H10" s="2" t="n">
        <v>5</v>
      </c>
      <c r="I10" s="6" t="n"/>
      <c r="J10" s="6" t="n"/>
      <c r="K10" s="3" t="inlineStr">
        <is>
          <t>beta</t>
        </is>
      </c>
      <c r="L10" s="5">
        <f>IF(I10&lt;&gt;"",I10,IF(AND(G10&lt;&gt;"",H10&lt;&gt;""),G10*(1-H10/100),""))</f>
        <v/>
      </c>
      <c r="M10" s="5">
        <f>IF(J10&lt;&gt;"",J10,IF(AND(G10&lt;&gt;"",H10&lt;&gt;""),G10*(1+H10/100),""))</f>
        <v/>
      </c>
      <c r="N10" s="4" t="inlineStr">
        <is>
          <t>coefficient</t>
        </is>
      </c>
      <c r="O10" s="4" t="inlineStr"/>
      <c r="P10" s="6" t="inlineStr"/>
    </row>
    <row r="11" ht="18" customHeight="1" s="27">
      <c r="A11" s="2" t="inlineStr">
        <is>
          <t>dairy</t>
        </is>
      </c>
      <c r="B11" s="21" t="inlineStr">
        <is>
          <t>Intensive</t>
        </is>
      </c>
      <c r="C11" s="22" t="inlineStr">
        <is>
          <t>DINT_cow</t>
        </is>
      </c>
      <c r="D11" s="4" t="inlineStr">
        <is>
          <t>DE</t>
        </is>
      </c>
      <c r="E11" s="4" t="inlineStr">
        <is>
          <t>Digestible energy as a percentage of gross energy — typical range 45-75%</t>
        </is>
      </c>
      <c r="F11" s="4" t="inlineStr">
        <is>
          <t>%</t>
        </is>
      </c>
      <c r="G11" s="2" t="n">
        <v>73.52</v>
      </c>
      <c r="H11" s="2" t="n"/>
      <c r="I11" s="6" t="n">
        <v>56.83</v>
      </c>
      <c r="J11" s="6" t="n">
        <v>77.70999999999999</v>
      </c>
      <c r="K11" s="3" t="inlineStr">
        <is>
          <t>pert</t>
        </is>
      </c>
      <c r="L11" s="5">
        <f>IF(I11&lt;&gt;"",I11,IF(AND(G11&lt;&gt;"",H11&lt;&gt;""),G11*(1-H11/100),""))</f>
        <v/>
      </c>
      <c r="M11" s="5">
        <f>IF(J11&lt;&gt;"",J11,IF(AND(G11&lt;&gt;"",H11&lt;&gt;""),G11*(1+H11/100),""))</f>
        <v/>
      </c>
      <c r="N11" s="4" t="inlineStr">
        <is>
          <t>coefficient</t>
        </is>
      </c>
      <c r="O11" s="4" t="inlineStr">
        <is>
          <t>Table 10.2</t>
        </is>
      </c>
      <c r="P11" s="6" t="inlineStr"/>
    </row>
    <row r="12" ht="18" customHeight="1" s="27">
      <c r="A12" s="2" t="inlineStr">
        <is>
          <t>dairy</t>
        </is>
      </c>
      <c r="B12" s="21" t="inlineStr">
        <is>
          <t>Intensive</t>
        </is>
      </c>
      <c r="C12" s="22" t="inlineStr">
        <is>
          <t>DINT_cow</t>
        </is>
      </c>
      <c r="D12" s="4" t="inlineStr">
        <is>
          <t>Cfi</t>
        </is>
      </c>
      <c r="E12" s="4" t="inlineStr">
        <is>
          <t>Maintenance energy coefficient — depends on sex and lactation status (IPCC Table 10.4)</t>
        </is>
      </c>
      <c r="F12" s="4" t="inlineStr">
        <is>
          <t>MJ/day/kg^0.75</t>
        </is>
      </c>
      <c r="G12" s="11" t="n">
        <v>0.383</v>
      </c>
      <c r="H12" s="11" t="n">
        <v>15</v>
      </c>
      <c r="I12" s="6" t="n"/>
      <c r="J12" s="6" t="n"/>
      <c r="K12" s="3" t="inlineStr">
        <is>
          <t>beta</t>
        </is>
      </c>
      <c r="L12" s="5">
        <f>IF(I12&lt;&gt;"",I12,IF(AND(G12&lt;&gt;"",H12&lt;&gt;""),G12*(1-H12/100),""))</f>
        <v/>
      </c>
      <c r="M12" s="5">
        <f>IF(J12&lt;&gt;"",J12,IF(AND(G12&lt;&gt;"",H12&lt;&gt;""),G12*(1+H12/100),""))</f>
        <v/>
      </c>
      <c r="N12" s="4" t="inlineStr">
        <is>
          <t>coefficient</t>
        </is>
      </c>
      <c r="O12" s="4" t="inlineStr">
        <is>
          <t>Table 10.4</t>
        </is>
      </c>
      <c r="P12" s="6" t="inlineStr"/>
    </row>
    <row r="13" ht="18" customHeight="1" s="27">
      <c r="A13" s="2" t="inlineStr">
        <is>
          <t>dairy</t>
        </is>
      </c>
      <c r="B13" s="21" t="inlineStr">
        <is>
          <t>Intensive</t>
        </is>
      </c>
      <c r="C13" s="22" t="inlineStr">
        <is>
          <t>DINT_cow</t>
        </is>
      </c>
      <c r="D13" s="4" t="inlineStr">
        <is>
          <t>Ca</t>
        </is>
      </c>
      <c r="E13" s="4" t="inlineStr">
        <is>
          <t>Activity coefficient for locomotion energy — depends on feeding situation (IPCC Table 10.5)</t>
        </is>
      </c>
      <c r="F13" s="4" t="inlineStr">
        <is>
          <t>dimensionless</t>
        </is>
      </c>
      <c r="G13" s="11" t="n">
        <v>0</v>
      </c>
      <c r="H13" s="11" t="n">
        <v>15</v>
      </c>
      <c r="I13" s="6" t="n"/>
      <c r="J13" s="6" t="n"/>
      <c r="K13" s="3" t="inlineStr">
        <is>
          <t>triangular</t>
        </is>
      </c>
      <c r="L13" s="5">
        <f>IF(I13&lt;&gt;"",I13,IF(AND(G13&lt;&gt;"",H13&lt;&gt;""),G13*(1-H13/100),""))</f>
        <v/>
      </c>
      <c r="M13" s="5">
        <f>IF(J13&lt;&gt;"",J13,IF(AND(G13&lt;&gt;"",H13&lt;&gt;""),G13*(1+H13/100),""))</f>
        <v/>
      </c>
      <c r="N13" s="4" t="inlineStr">
        <is>
          <t>coefficient</t>
        </is>
      </c>
      <c r="O13" s="4" t="inlineStr">
        <is>
          <t>Table 10.5</t>
        </is>
      </c>
      <c r="P13" s="6" t="inlineStr"/>
    </row>
    <row r="14" ht="18" customHeight="1" s="27">
      <c r="A14" s="2" t="inlineStr">
        <is>
          <t>dairy</t>
        </is>
      </c>
      <c r="B14" s="21" t="inlineStr">
        <is>
          <t>Intensive</t>
        </is>
      </c>
      <c r="C14" s="22" t="inlineStr">
        <is>
          <t>DINT_cow</t>
        </is>
      </c>
      <c r="D14" s="4" t="inlineStr">
        <is>
          <t>C</t>
        </is>
      </c>
      <c r="E14" s="4" t="inlineStr">
        <is>
          <t>Growth coefficient for the NEg equation — depends on sex (IPCC Eq 10.6)</t>
        </is>
      </c>
      <c r="F14" s="4" t="inlineStr">
        <is>
          <t>dimensionless</t>
        </is>
      </c>
      <c r="G14" s="11" t="n">
        <v>0.8</v>
      </c>
      <c r="H14" s="11" t="n">
        <v>15</v>
      </c>
      <c r="I14" s="6" t="n"/>
      <c r="J14" s="6" t="n"/>
      <c r="K14" s="3" t="inlineStr">
        <is>
          <t>posnorm</t>
        </is>
      </c>
      <c r="L14" s="5">
        <f>IF(I14&lt;&gt;"",I14,IF(AND(G14&lt;&gt;"",H14&lt;&gt;""),G14*(1-H14/100),""))</f>
        <v/>
      </c>
      <c r="M14" s="5">
        <f>IF(J14&lt;&gt;"",J14,IF(AND(G14&lt;&gt;"",H14&lt;&gt;""),G14*(1+H14/100),""))</f>
        <v/>
      </c>
      <c r="N14" s="4" t="inlineStr">
        <is>
          <t>coefficient</t>
        </is>
      </c>
      <c r="O14" s="4" t="inlineStr">
        <is>
          <t>Eq 10.6</t>
        </is>
      </c>
      <c r="P14" s="6" t="inlineStr"/>
    </row>
    <row r="15" ht="18" customHeight="1" s="27">
      <c r="A15" s="2" t="inlineStr">
        <is>
          <t>dairy</t>
        </is>
      </c>
      <c r="B15" s="21" t="inlineStr">
        <is>
          <t>Intensive</t>
        </is>
      </c>
      <c r="C15" s="22" t="inlineStr">
        <is>
          <t>DINT_cow</t>
        </is>
      </c>
      <c r="D15" s="4" t="inlineStr">
        <is>
          <t>Cp</t>
        </is>
      </c>
      <c r="E15" s="4" t="inlineStr">
        <is>
          <t>Pregnancy coefficient — 0.10 for pregnant animals (IPCC Table 10.7)</t>
        </is>
      </c>
      <c r="F15" s="4" t="inlineStr">
        <is>
          <t>dimensionless</t>
        </is>
      </c>
      <c r="G15" s="11" t="n">
        <v>0.1</v>
      </c>
      <c r="H15" s="11" t="n">
        <v>15</v>
      </c>
      <c r="I15" s="6" t="n"/>
      <c r="J15" s="6" t="n"/>
      <c r="K15" s="3" t="inlineStr">
        <is>
          <t>beta</t>
        </is>
      </c>
      <c r="L15" s="5">
        <f>IF(I15&lt;&gt;"",I15,IF(AND(G15&lt;&gt;"",H15&lt;&gt;""),G15*(1-H15/100),""))</f>
        <v/>
      </c>
      <c r="M15" s="5">
        <f>IF(J15&lt;&gt;"",J15,IF(AND(G15&lt;&gt;"",H15&lt;&gt;""),G15*(1+H15/100),""))</f>
        <v/>
      </c>
      <c r="N15" s="4" t="inlineStr">
        <is>
          <t>coefficient</t>
        </is>
      </c>
      <c r="O15" s="4" t="inlineStr">
        <is>
          <t>Table 10.7</t>
        </is>
      </c>
      <c r="P15" s="6" t="inlineStr"/>
    </row>
    <row r="16" ht="18" customHeight="1" s="27">
      <c r="A16" s="2" t="inlineStr">
        <is>
          <t>dairy</t>
        </is>
      </c>
      <c r="B16" s="21" t="inlineStr">
        <is>
          <t>Intensive</t>
        </is>
      </c>
      <c r="C16" s="22" t="inlineStr">
        <is>
          <t>DINT_cow</t>
        </is>
      </c>
      <c r="D16" s="4" t="inlineStr">
        <is>
          <t>hours</t>
        </is>
      </c>
      <c r="E16" s="4" t="inlineStr">
        <is>
          <t>Daily working hours (IPCC Vol.4 Ch.10 Eq. 10.11) - set 0 when animals do no work (typical for dairy/beef cattle inventories).</t>
        </is>
      </c>
      <c r="F16" s="4" t="inlineStr">
        <is>
          <t>hours/day</t>
        </is>
      </c>
      <c r="G16" s="2" t="n">
        <v>0</v>
      </c>
      <c r="H16" s="2" t="n">
        <v>0</v>
      </c>
      <c r="I16" s="6" t="n"/>
      <c r="J16" s="6" t="n"/>
      <c r="K16" s="3" t="inlineStr">
        <is>
          <t>pert</t>
        </is>
      </c>
      <c r="L16" s="5">
        <f>IF(I16&lt;&gt;"",I16,IF(AND(G16&lt;&gt;"",H16&lt;&gt;""),G16*(1-H16/100),""))</f>
        <v/>
      </c>
      <c r="M16" s="5">
        <f>IF(J16&lt;&gt;"",J16,IF(AND(G16&lt;&gt;"",H16&lt;&gt;""),G16*(1+H16/100),""))</f>
        <v/>
      </c>
      <c r="N16" s="4" t="inlineStr">
        <is>
          <t>coefficient</t>
        </is>
      </c>
      <c r="O16" s="4" t="inlineStr">
        <is>
          <t>Eq 10.11</t>
        </is>
      </c>
      <c r="P16" s="6" t="inlineStr"/>
    </row>
    <row r="17" ht="18" customHeight="1" s="27">
      <c r="A17" s="2" t="inlineStr">
        <is>
          <t>dairy</t>
        </is>
      </c>
      <c r="B17" s="21" t="inlineStr">
        <is>
          <t>Intensive</t>
        </is>
      </c>
      <c r="C17" s="22" t="inlineStr">
        <is>
          <t>DINT_cow</t>
        </is>
      </c>
      <c r="D17" s="4" t="inlineStr">
        <is>
          <t>CP</t>
        </is>
      </c>
      <c r="E17" s="4" t="inlineStr">
        <is>
          <t>Crude protein content of the diet — used to estimate nitrogen excretion</t>
        </is>
      </c>
      <c r="F17" s="4" t="inlineStr">
        <is>
          <t>%</t>
        </is>
      </c>
      <c r="G17" s="2" t="n">
        <v>14.8</v>
      </c>
      <c r="H17" s="2" t="n"/>
      <c r="I17" s="6" t="n">
        <v>11.725</v>
      </c>
      <c r="J17" s="6" t="n">
        <v>15.086</v>
      </c>
      <c r="K17" s="3" t="inlineStr">
        <is>
          <t>pert</t>
        </is>
      </c>
      <c r="L17" s="5">
        <f>IF(I17&lt;&gt;"",I17,IF(AND(G17&lt;&gt;"",H17&lt;&gt;""),G17*(1-H17/100),""))</f>
        <v/>
      </c>
      <c r="M17" s="5">
        <f>IF(J17&lt;&gt;"",J17,IF(AND(G17&lt;&gt;"",H17&lt;&gt;""),G17*(1+H17/100),""))</f>
        <v/>
      </c>
      <c r="N17" s="4" t="inlineStr">
        <is>
          <t>coefficient</t>
        </is>
      </c>
      <c r="O17" s="4" t="inlineStr"/>
      <c r="P17" s="6" t="inlineStr"/>
    </row>
    <row r="18" ht="18" customHeight="1" s="27">
      <c r="A18" s="2" t="inlineStr">
        <is>
          <t>dairy</t>
        </is>
      </c>
      <c r="B18" s="21" t="inlineStr">
        <is>
          <t>Intensive</t>
        </is>
      </c>
      <c r="C18" s="22" t="inlineStr">
        <is>
          <t>DINT_cow</t>
        </is>
      </c>
      <c r="D18" s="4" t="inlineStr">
        <is>
          <t>Ym</t>
        </is>
      </c>
      <c r="E18" s="4" t="inlineStr">
        <is>
          <t>Methane conversion factor: % of gross energy converted to enteric CH4 (IPCC Table 10.12)</t>
        </is>
      </c>
      <c r="F18" s="4" t="inlineStr">
        <is>
          <t>%</t>
        </is>
      </c>
      <c r="G18" s="11" t="n">
        <v>6.3</v>
      </c>
      <c r="H18" s="11" t="n">
        <v>20</v>
      </c>
      <c r="I18" s="6" t="n"/>
      <c r="J18" s="6" t="n"/>
      <c r="K18" s="3" t="inlineStr">
        <is>
          <t>posnorm</t>
        </is>
      </c>
      <c r="L18" s="5">
        <f>IF(I18&lt;&gt;"",I18,IF(AND(G18&lt;&gt;"",H18&lt;&gt;""),G18*(1-H18/100),""))</f>
        <v/>
      </c>
      <c r="M18" s="5">
        <f>IF(J18&lt;&gt;"",J18,IF(AND(G18&lt;&gt;"",H18&lt;&gt;""),G18*(1+H18/100),""))</f>
        <v/>
      </c>
      <c r="N18" s="4" t="inlineStr">
        <is>
          <t>coefficient</t>
        </is>
      </c>
      <c r="O18" s="4" t="inlineStr">
        <is>
          <t>Table 10.12</t>
        </is>
      </c>
      <c r="P18" s="6" t="inlineStr"/>
    </row>
    <row r="19" ht="18" customHeight="1" s="27">
      <c r="A19" s="2" t="inlineStr">
        <is>
          <t>dairy</t>
        </is>
      </c>
      <c r="B19" s="21" t="inlineStr">
        <is>
          <t>Intensive</t>
        </is>
      </c>
      <c r="C19" s="22" t="inlineStr">
        <is>
          <t>DINT_cow</t>
        </is>
      </c>
      <c r="D19" s="4" t="inlineStr">
        <is>
          <t>Bo</t>
        </is>
      </c>
      <c r="E19" s="4" t="inlineStr">
        <is>
          <t>Maximum CH4 producing capacity of manure - IPCC 2019 Refinement Vol.4 Ch.10 Table 10.16(a) (Updated). Default for cattle in 'Other regions, low productivity' = 0.13 (matches 2019R Africa/Asia cattle low-productivity). Intensive dairy in NA/W.Europe = 0.24. 2006 Africa default = 0.10. Adjust to match your production system.</t>
        </is>
      </c>
      <c r="F19" s="4" t="inlineStr">
        <is>
          <t>m3 CH4/kg VS</t>
        </is>
      </c>
      <c r="G19" s="11" t="n">
        <v>0.24</v>
      </c>
      <c r="H19" s="11" t="n">
        <v>15</v>
      </c>
      <c r="I19" s="6" t="n"/>
      <c r="J19" s="6" t="n"/>
      <c r="K19" s="3" t="inlineStr">
        <is>
          <t>pert</t>
        </is>
      </c>
      <c r="L19" s="5">
        <f>IF(I19&lt;&gt;"",I19,IF(AND(G19&lt;&gt;"",H19&lt;&gt;""),G19*(1-H19/100),""))</f>
        <v/>
      </c>
      <c r="M19" s="5">
        <f>IF(J19&lt;&gt;"",J19,IF(AND(G19&lt;&gt;"",H19&lt;&gt;""),G19*(1+H19/100),""))</f>
        <v/>
      </c>
      <c r="N19" s="4" t="inlineStr">
        <is>
          <t>coefficient</t>
        </is>
      </c>
      <c r="O19" s="4" t="inlineStr">
        <is>
          <t>Table 10.16</t>
        </is>
      </c>
      <c r="P19" s="6" t="inlineStr"/>
    </row>
    <row r="20" ht="18" customHeight="1" s="27">
      <c r="A20" s="2" t="inlineStr">
        <is>
          <t>dairy</t>
        </is>
      </c>
      <c r="B20" s="21" t="inlineStr">
        <is>
          <t>Intensive</t>
        </is>
      </c>
      <c r="C20" s="22" t="inlineStr">
        <is>
          <t>DINT_cow</t>
        </is>
      </c>
      <c r="D20" s="4" t="inlineStr">
        <is>
          <t>ASH</t>
        </is>
      </c>
      <c r="E20" s="4" t="inlineStr">
        <is>
          <t>Ash content of manure — IPCC default 0.08 (Eq 10.24 footnote)</t>
        </is>
      </c>
      <c r="F20" s="4" t="inlineStr">
        <is>
          <t>fraction</t>
        </is>
      </c>
      <c r="G20" s="11" t="n">
        <v>0.08</v>
      </c>
      <c r="H20" s="11" t="n">
        <v>10</v>
      </c>
      <c r="I20" s="6" t="n"/>
      <c r="J20" s="6" t="n"/>
      <c r="K20" s="3" t="inlineStr">
        <is>
          <t>tnorm_0_1</t>
        </is>
      </c>
      <c r="L20" s="5">
        <f>IF(I20&lt;&gt;"",I20,IF(AND(G20&lt;&gt;"",H20&lt;&gt;""),G20*(1-H20/100),""))</f>
        <v/>
      </c>
      <c r="M20" s="5">
        <f>IF(J20&lt;&gt;"",J20,IF(AND(G20&lt;&gt;"",H20&lt;&gt;""),G20*(1+H20/100),""))</f>
        <v/>
      </c>
      <c r="N20" s="4" t="inlineStr">
        <is>
          <t>coefficient</t>
        </is>
      </c>
      <c r="O20" s="4" t="inlineStr">
        <is>
          <t>Eq 10.24</t>
        </is>
      </c>
      <c r="P20" s="6" t="inlineStr"/>
    </row>
    <row r="21" ht="18" customHeight="1" s="27">
      <c r="A21" s="2" t="inlineStr">
        <is>
          <t>dairy</t>
        </is>
      </c>
      <c r="B21" s="21" t="inlineStr">
        <is>
          <t>Intensive</t>
        </is>
      </c>
      <c r="C21" s="22" t="inlineStr">
        <is>
          <t>DINT_cow</t>
        </is>
      </c>
      <c r="D21" s="4" t="inlineStr">
        <is>
          <t>UE</t>
        </is>
      </c>
      <c r="E21" s="4" t="inlineStr">
        <is>
          <t>Urinary energy as fraction of gross energy — IPCC default 0.04 (Eq 10.24 footnote)</t>
        </is>
      </c>
      <c r="F21" s="4" t="inlineStr">
        <is>
          <t>fraction</t>
        </is>
      </c>
      <c r="G21" s="11" t="n">
        <v>0.04</v>
      </c>
      <c r="H21" s="11" t="n">
        <v>0</v>
      </c>
      <c r="I21" s="6" t="n"/>
      <c r="J21" s="6" t="n"/>
      <c r="K21" s="3" t="inlineStr">
        <is>
          <t>pert</t>
        </is>
      </c>
      <c r="L21" s="5">
        <f>IF(I21&lt;&gt;"",I21,IF(AND(G21&lt;&gt;"",H21&lt;&gt;""),G21*(1-H21/100),""))</f>
        <v/>
      </c>
      <c r="M21" s="5">
        <f>IF(J21&lt;&gt;"",J21,IF(AND(G21&lt;&gt;"",H21&lt;&gt;""),G21*(1+H21/100),""))</f>
        <v/>
      </c>
      <c r="N21" s="4" t="inlineStr">
        <is>
          <t>coefficient</t>
        </is>
      </c>
      <c r="O21" s="4" t="inlineStr">
        <is>
          <t>Eq 10.24</t>
        </is>
      </c>
      <c r="P21" s="6" t="inlineStr"/>
    </row>
    <row r="22" ht="18" customHeight="1" s="27">
      <c r="A22" s="2" t="inlineStr">
        <is>
          <t>dairy</t>
        </is>
      </c>
      <c r="B22" s="21" t="inlineStr">
        <is>
          <t>Intensive</t>
        </is>
      </c>
      <c r="C22" s="22" t="inlineStr">
        <is>
          <t>DINT_cow</t>
        </is>
      </c>
      <c r="D22" s="4" t="inlineStr">
        <is>
          <t>EF3_PRP</t>
        </is>
      </c>
      <c r="E22" s="4" t="inlineStr">
        <is>
          <t>Direct N2O EF for dung/urine on pasture/range/paddock - IPCC Vol.4 Ch.11 Table 11.1. 2006 cattle/poultry/pigs = 0.02. 2019R EF3_PRP,CPP for cattle/poultry/pigs: aggregated = 0.004 (range 0.000-0.014); wet climate = 0.006 (0.000-0.027); dry climate = 0.002 (0.000-0.007).</t>
        </is>
      </c>
      <c r="F22" s="4" t="inlineStr">
        <is>
          <t>kg N2O-N/kg N</t>
        </is>
      </c>
      <c r="G22" s="11" t="n">
        <v>0.004</v>
      </c>
      <c r="H22" s="11" t="n"/>
      <c r="I22" s="6" t="n">
        <v>0</v>
      </c>
      <c r="J22" s="6" t="n">
        <v>0.014</v>
      </c>
      <c r="K22" s="3" t="inlineStr">
        <is>
          <t>pert</t>
        </is>
      </c>
      <c r="L22" s="5">
        <f>IF(I22&lt;&gt;"",I22,IF(AND(G22&lt;&gt;"",H22&lt;&gt;""),G22*(1-H22/100),""))</f>
        <v/>
      </c>
      <c r="M22" s="5">
        <f>IF(J22&lt;&gt;"",J22,IF(AND(G22&lt;&gt;"",H22&lt;&gt;""),G22*(1+H22/100),""))</f>
        <v/>
      </c>
      <c r="N22" s="4" t="inlineStr">
        <is>
          <t>coefficient</t>
        </is>
      </c>
      <c r="O22" s="4" t="inlineStr">
        <is>
          <t>Table 11.1</t>
        </is>
      </c>
      <c r="P22" s="6" t="inlineStr"/>
    </row>
    <row r="23" ht="18" customHeight="1" s="27">
      <c r="A23" s="2" t="inlineStr">
        <is>
          <t>dairy</t>
        </is>
      </c>
      <c r="B23" s="21" t="inlineStr">
        <is>
          <t>Intensive</t>
        </is>
      </c>
      <c r="C23" s="22" t="inlineStr">
        <is>
          <t>DINT_cow</t>
        </is>
      </c>
      <c r="D23" s="4" t="inlineStr">
        <is>
          <t>Frac_GASMS</t>
        </is>
      </c>
      <c r="E23" s="4" t="inlineStr">
        <is>
          <t>Fraction of managed manure N volatilised as NH3/NOx - per IPCC 2019 Refinement Vol.4 Ch.10 Table 10.22 (per manure management system). On the soil side this same fraction is FracGASM in Ch.11 Table 11.3: 2019R = 0.21 (range 0.00-0.31); 2006 = 0.20.</t>
        </is>
      </c>
      <c r="F23" s="4" t="inlineStr">
        <is>
          <t>fraction</t>
        </is>
      </c>
      <c r="G23" s="11" t="n">
        <v>0.21</v>
      </c>
      <c r="H23" s="11" t="n">
        <v>40</v>
      </c>
      <c r="I23" s="6" t="n">
        <v>0</v>
      </c>
      <c r="J23" s="6" t="n">
        <v>0.31</v>
      </c>
      <c r="K23" s="3" t="inlineStr">
        <is>
          <t>pert</t>
        </is>
      </c>
      <c r="L23" s="5">
        <f>IF(I23&lt;&gt;"",I23,IF(AND(G23&lt;&gt;"",H23&lt;&gt;""),G23*(1-H23/100),""))</f>
        <v/>
      </c>
      <c r="M23" s="5">
        <f>IF(J23&lt;&gt;"",J23,IF(AND(G23&lt;&gt;"",H23&lt;&gt;""),G23*(1+H23/100),""))</f>
        <v/>
      </c>
      <c r="N23" s="4" t="inlineStr">
        <is>
          <t>coefficient</t>
        </is>
      </c>
      <c r="O23" s="4" t="inlineStr">
        <is>
          <t>Table 10.22</t>
        </is>
      </c>
      <c r="P23" s="6" t="inlineStr"/>
    </row>
    <row r="24" ht="18" customHeight="1" s="27">
      <c r="A24" s="2" t="inlineStr">
        <is>
          <t>dairy</t>
        </is>
      </c>
      <c r="B24" s="21" t="inlineStr">
        <is>
          <t>Intensive</t>
        </is>
      </c>
      <c r="C24" s="22" t="inlineStr">
        <is>
          <t>DINT_cow</t>
        </is>
      </c>
      <c r="D24" s="4" t="inlineStr">
        <is>
          <t>EF4</t>
        </is>
      </c>
      <c r="E24" s="4" t="inlineStr">
        <is>
          <t>N2O EF for atmospheric N deposition - IPCC Vol.4 Ch.11 Table 11.3. 2006 = 0.010. 2019 Refinement: aggregated default = 0.010 (range 0.002-0.018); wet climate = 0.014 (0.011-0.017); dry climate = 0.005 (0.000-0.011). Use 0.014 only when classifying as wet climate.</t>
        </is>
      </c>
      <c r="F24" s="4" t="inlineStr">
        <is>
          <t>kg N2O-N/kg N</t>
        </is>
      </c>
      <c r="G24" s="11" t="n">
        <v>0.01</v>
      </c>
      <c r="H24" s="11" t="n"/>
      <c r="I24" s="6" t="n">
        <v>0.002</v>
      </c>
      <c r="J24" s="6" t="n">
        <v>0.018</v>
      </c>
      <c r="K24" s="3" t="inlineStr">
        <is>
          <t>pert</t>
        </is>
      </c>
      <c r="L24" s="5">
        <f>IF(I24&lt;&gt;"",I24,IF(AND(G24&lt;&gt;"",H24&lt;&gt;""),G24*(1-H24/100),""))</f>
        <v/>
      </c>
      <c r="M24" s="5">
        <f>IF(J24&lt;&gt;"",J24,IF(AND(G24&lt;&gt;"",H24&lt;&gt;""),G24*(1+H24/100),""))</f>
        <v/>
      </c>
      <c r="N24" s="4" t="inlineStr">
        <is>
          <t>coefficient</t>
        </is>
      </c>
      <c r="O24" s="4" t="inlineStr">
        <is>
          <t>Table 11.3</t>
        </is>
      </c>
      <c r="P24" s="6" t="inlineStr"/>
    </row>
    <row r="25" ht="18" customHeight="1" s="27">
      <c r="A25" s="2" t="inlineStr">
        <is>
          <t>dairy</t>
        </is>
      </c>
      <c r="B25" s="21" t="inlineStr">
        <is>
          <t>Intensive</t>
        </is>
      </c>
      <c r="C25" s="22" t="inlineStr">
        <is>
          <t>DINT_cow</t>
        </is>
      </c>
      <c r="D25" s="4" t="inlineStr">
        <is>
          <t>EF5</t>
        </is>
      </c>
      <c r="E25" s="4" t="inlineStr">
        <is>
          <t>N2O EF for N leaching/runoff - IPCC Vol.4 Ch.11 Table 11.3. 2006 default = 0.0075; 2019 Refinement updated to 0.011 kg N2O-N/kg N leached/runoff (range 0.000-0.020). No climate disaggregation.</t>
        </is>
      </c>
      <c r="F25" s="4" t="inlineStr">
        <is>
          <t>kg N2O-N/kg N</t>
        </is>
      </c>
      <c r="G25" s="11" t="n">
        <v>0.011</v>
      </c>
      <c r="H25" s="11" t="n"/>
      <c r="I25" s="6" t="n">
        <v>0</v>
      </c>
      <c r="J25" s="6" t="n">
        <v>0.02</v>
      </c>
      <c r="K25" s="3" t="inlineStr">
        <is>
          <t>pert</t>
        </is>
      </c>
      <c r="L25" s="5">
        <f>IF(I25&lt;&gt;"",I25,IF(AND(G25&lt;&gt;"",H25&lt;&gt;""),G25*(1-H25/100),""))</f>
        <v/>
      </c>
      <c r="M25" s="5">
        <f>IF(J25&lt;&gt;"",J25,IF(AND(G25&lt;&gt;"",H25&lt;&gt;""),G25*(1+H25/100),""))</f>
        <v/>
      </c>
      <c r="N25" s="4" t="inlineStr">
        <is>
          <t>coefficient</t>
        </is>
      </c>
      <c r="O25" s="4" t="inlineStr">
        <is>
          <t>Table 11.3</t>
        </is>
      </c>
      <c r="P25" s="6" t="inlineStr"/>
    </row>
    <row r="26" ht="18" customHeight="1" s="27">
      <c r="A26" s="2" t="inlineStr">
        <is>
          <t>dairy</t>
        </is>
      </c>
      <c r="B26" s="21" t="inlineStr">
        <is>
          <t>Intensive</t>
        </is>
      </c>
      <c r="C26" s="22" t="inlineStr">
        <is>
          <t>DINT_cow</t>
        </is>
      </c>
      <c r="D26" s="4" t="inlineStr">
        <is>
          <t>Frac_LEACH_H</t>
        </is>
      </c>
      <c r="E26" s="4" t="inlineStr">
        <is>
          <t>Fraction of managed N lost through leaching (managed-storage side) - IPCC 2019 Refinement Vol.4 Ch.10 Table 10.23. Distinct from the pasture-side Frac_LEACH_PRP (FracLEACH-(H) in Ch.11 Table 11.3).</t>
        </is>
      </c>
      <c r="F26" s="4" t="inlineStr">
        <is>
          <t>fraction</t>
        </is>
      </c>
      <c r="G26" s="11" t="n">
        <v>0.02</v>
      </c>
      <c r="H26" s="11" t="n"/>
      <c r="I26" s="6" t="n">
        <v>0.006</v>
      </c>
      <c r="J26" s="6" t="n">
        <v>0.054</v>
      </c>
      <c r="K26" s="3" t="inlineStr">
        <is>
          <t>lognormal</t>
        </is>
      </c>
      <c r="L26" s="5">
        <f>IF(I26&lt;&gt;"",I26,IF(AND(G26&lt;&gt;"",H26&lt;&gt;""),G26*(1-H26/100),""))</f>
        <v/>
      </c>
      <c r="M26" s="5">
        <f>IF(J26&lt;&gt;"",J26,IF(AND(G26&lt;&gt;"",H26&lt;&gt;""),G26*(1+H26/100),""))</f>
        <v/>
      </c>
      <c r="N26" s="4" t="inlineStr">
        <is>
          <t>coefficient</t>
        </is>
      </c>
      <c r="O26" s="4" t="inlineStr">
        <is>
          <t>Table 11.3</t>
        </is>
      </c>
      <c r="P26" s="6" t="inlineStr"/>
    </row>
    <row r="27" ht="18" customHeight="1" s="27">
      <c r="A27" s="2" t="inlineStr">
        <is>
          <t>dairy</t>
        </is>
      </c>
      <c r="B27" s="21" t="inlineStr">
        <is>
          <t>Intensive</t>
        </is>
      </c>
      <c r="C27" s="22" t="inlineStr">
        <is>
          <t>DINT_cow</t>
        </is>
      </c>
      <c r="D27" s="4" t="inlineStr">
        <is>
          <t>MilkPR</t>
        </is>
      </c>
      <c r="E27" s="4" t="inlineStr">
        <is>
          <t>Protein content of milk (%) - feeds the milk-N term in IPCC Vol.4 Ch.10 Eq 10.33 (N retention for cattle, where the 6.38 milk-protein-to-N conversion factor is defined).</t>
        </is>
      </c>
      <c r="F27" s="4" t="inlineStr">
        <is>
          <t>%</t>
        </is>
      </c>
      <c r="G27" s="2" t="n">
        <v>3.42</v>
      </c>
      <c r="H27" s="2" t="n">
        <v>10</v>
      </c>
      <c r="I27" s="6" t="n"/>
      <c r="J27" s="6" t="n"/>
      <c r="K27" s="3" t="inlineStr">
        <is>
          <t>normal</t>
        </is>
      </c>
      <c r="L27" s="5">
        <f>IF(I27&lt;&gt;"",I27,IF(AND(G27&lt;&gt;"",H27&lt;&gt;""),G27*(1-H27/100),""))</f>
        <v/>
      </c>
      <c r="M27" s="5">
        <f>IF(J27&lt;&gt;"",J27,IF(AND(G27&lt;&gt;"",H27&lt;&gt;""),G27*(1+H27/100),""))</f>
        <v/>
      </c>
      <c r="N27" s="4" t="inlineStr">
        <is>
          <t>coefficient</t>
        </is>
      </c>
      <c r="O27" s="4" t="inlineStr">
        <is>
          <t>Table 10A.2</t>
        </is>
      </c>
      <c r="P27" s="6" t="inlineStr"/>
    </row>
    <row r="28" hidden="1" ht="18" customHeight="1" s="27">
      <c r="A28" s="2" t="inlineStr">
        <is>
          <t>dairy</t>
        </is>
      </c>
      <c r="B28" s="21" t="inlineStr">
        <is>
          <t>Intensive</t>
        </is>
      </c>
      <c r="C28" s="22" t="inlineStr">
        <is>
          <t>DINT_bull</t>
        </is>
      </c>
      <c r="D28" s="4" t="inlineStr">
        <is>
          <t>N</t>
        </is>
      </c>
      <c r="E28" s="4" t="inlineStr">
        <is>
          <t>Number of animals in this sub-category</t>
        </is>
      </c>
      <c r="F28" s="4" t="inlineStr">
        <is>
          <t>head</t>
        </is>
      </c>
      <c r="G28" s="2" t="n">
        <v>436</v>
      </c>
      <c r="H28" s="2" t="n">
        <v>2.1</v>
      </c>
      <c r="I28" s="6" t="n"/>
      <c r="J28" s="6" t="n"/>
      <c r="K28" s="3" t="inlineStr">
        <is>
          <t>normal</t>
        </is>
      </c>
      <c r="L28" s="5">
        <f>IF(I28&lt;&gt;"",I28,IF(AND(G28&lt;&gt;"",H28&lt;&gt;""),G28*(1-H28/100),""))</f>
        <v/>
      </c>
      <c r="M28" s="5">
        <f>IF(J28&lt;&gt;"",J28,IF(AND(G28&lt;&gt;"",H28&lt;&gt;""),G28*(1+H28/100),""))</f>
        <v/>
      </c>
      <c r="N28" s="4" t="inlineStr">
        <is>
          <t>activity_data</t>
        </is>
      </c>
      <c r="O28" s="4" t="inlineStr"/>
      <c r="P28" s="6" t="inlineStr"/>
    </row>
    <row r="29" hidden="1" ht="18" customHeight="1" s="27">
      <c r="A29" s="2" t="inlineStr">
        <is>
          <t>dairy</t>
        </is>
      </c>
      <c r="B29" s="21" t="inlineStr">
        <is>
          <t>Intensive</t>
        </is>
      </c>
      <c r="C29" s="22" t="inlineStr">
        <is>
          <t>DINT_bull</t>
        </is>
      </c>
      <c r="D29" s="4" t="inlineStr">
        <is>
          <t>W</t>
        </is>
      </c>
      <c r="E29" s="4" t="inlineStr">
        <is>
          <t>Average live body weight of the animals</t>
        </is>
      </c>
      <c r="F29" s="4" t="inlineStr">
        <is>
          <t>kg</t>
        </is>
      </c>
      <c r="G29" s="2" t="n">
        <v>650</v>
      </c>
      <c r="H29" s="2" t="n">
        <v>13</v>
      </c>
      <c r="I29" s="6" t="n"/>
      <c r="J29" s="6" t="n"/>
      <c r="K29" s="3" t="inlineStr">
        <is>
          <t>normal</t>
        </is>
      </c>
      <c r="L29" s="5">
        <f>IF(I29&lt;&gt;"",I29,IF(AND(G29&lt;&gt;"",H29&lt;&gt;""),G29*(1-H29/100),""))</f>
        <v/>
      </c>
      <c r="M29" s="5">
        <f>IF(J29&lt;&gt;"",J29,IF(AND(G29&lt;&gt;"",H29&lt;&gt;""),G29*(1+H29/100),""))</f>
        <v/>
      </c>
      <c r="N29" s="4" t="inlineStr">
        <is>
          <t>coefficient</t>
        </is>
      </c>
      <c r="O29" s="4" t="inlineStr">
        <is>
          <t>Table 10A.2</t>
        </is>
      </c>
      <c r="P29" s="6" t="inlineStr"/>
    </row>
    <row r="30" hidden="1" ht="18" customHeight="1" s="27">
      <c r="A30" s="2" t="inlineStr">
        <is>
          <t>dairy</t>
        </is>
      </c>
      <c r="B30" s="21" t="inlineStr">
        <is>
          <t>Intensive</t>
        </is>
      </c>
      <c r="C30" s="22" t="inlineStr">
        <is>
          <t>DINT_bull</t>
        </is>
      </c>
      <c r="D30" s="4" t="inlineStr">
        <is>
          <t>MW</t>
        </is>
      </c>
      <c r="E30" s="4" t="inlineStr">
        <is>
          <t>Mature (adult) body weight of the animals</t>
        </is>
      </c>
      <c r="F30" s="4" t="inlineStr">
        <is>
          <t>kg</t>
        </is>
      </c>
      <c r="G30" s="2" t="n">
        <v>650</v>
      </c>
      <c r="H30" s="2" t="n">
        <v>0</v>
      </c>
      <c r="I30" s="6" t="n"/>
      <c r="J30" s="6" t="n"/>
      <c r="K30" s="3" t="inlineStr">
        <is>
          <t>normal</t>
        </is>
      </c>
      <c r="L30" s="5">
        <f>IF(I30&lt;&gt;"",I30,IF(AND(G30&lt;&gt;"",H30&lt;&gt;""),G30*(1-H30/100),""))</f>
        <v/>
      </c>
      <c r="M30" s="5">
        <f>IF(J30&lt;&gt;"",J30,IF(AND(G30&lt;&gt;"",H30&lt;&gt;""),G30*(1+H30/100),""))</f>
        <v/>
      </c>
      <c r="N30" s="4" t="inlineStr">
        <is>
          <t>coefficient</t>
        </is>
      </c>
      <c r="O30" s="4" t="inlineStr">
        <is>
          <t>Table 10A.2</t>
        </is>
      </c>
      <c r="P30" s="6" t="inlineStr"/>
    </row>
    <row r="31" hidden="1" ht="18" customHeight="1" s="27">
      <c r="A31" s="2" t="inlineStr">
        <is>
          <t>dairy</t>
        </is>
      </c>
      <c r="B31" s="21" t="inlineStr">
        <is>
          <t>Intensive</t>
        </is>
      </c>
      <c r="C31" s="22" t="inlineStr">
        <is>
          <t>DINT_bull</t>
        </is>
      </c>
      <c r="D31" s="4" t="inlineStr">
        <is>
          <t>WG</t>
        </is>
      </c>
      <c r="E31" s="4" t="inlineStr">
        <is>
          <t>Average daily weight gain — set 0 for non-growing (adult) animals</t>
        </is>
      </c>
      <c r="F31" s="4" t="inlineStr">
        <is>
          <t>kg/day</t>
        </is>
      </c>
      <c r="G31" s="2" t="n">
        <v>0</v>
      </c>
      <c r="H31" s="2" t="n">
        <v>0</v>
      </c>
      <c r="I31" s="6" t="n">
        <v>0</v>
      </c>
      <c r="J31" s="6" t="n">
        <v>0</v>
      </c>
      <c r="K31" s="3" t="inlineStr">
        <is>
          <t>pert</t>
        </is>
      </c>
      <c r="L31" s="5">
        <f>IF(I31&lt;&gt;"",I31,IF(AND(G31&lt;&gt;"",H31&lt;&gt;""),G31*(1-H31/100),""))</f>
        <v/>
      </c>
      <c r="M31" s="5">
        <f>IF(J31&lt;&gt;"",J31,IF(AND(G31&lt;&gt;"",H31&lt;&gt;""),G31*(1+H31/100),""))</f>
        <v/>
      </c>
      <c r="N31" s="4" t="inlineStr">
        <is>
          <t>coefficient</t>
        </is>
      </c>
      <c r="O31" s="4" t="inlineStr">
        <is>
          <t>Table 10A.1</t>
        </is>
      </c>
      <c r="P31" s="6" t="inlineStr"/>
    </row>
    <row r="32" hidden="1" ht="18" customHeight="1" s="27">
      <c r="A32" s="2" t="inlineStr">
        <is>
          <t>dairy</t>
        </is>
      </c>
      <c r="B32" s="21" t="inlineStr">
        <is>
          <t>Intensive</t>
        </is>
      </c>
      <c r="C32" s="22" t="inlineStr">
        <is>
          <t>DINT_bull</t>
        </is>
      </c>
      <c r="D32" s="4" t="inlineStr">
        <is>
          <t>Milk</t>
        </is>
      </c>
      <c r="E32" s="4" t="inlineStr">
        <is>
          <t>Daily milk yield per lactating cow — set 0 for non-dairy sub-categories</t>
        </is>
      </c>
      <c r="F32" s="4" t="inlineStr">
        <is>
          <t>kg/head/day</t>
        </is>
      </c>
      <c r="G32" s="2" t="n">
        <v>0</v>
      </c>
      <c r="H32" s="2" t="n">
        <v>0</v>
      </c>
      <c r="I32" s="6" t="n"/>
      <c r="J32" s="6" t="n"/>
      <c r="K32" s="3" t="inlineStr">
        <is>
          <t>normal</t>
        </is>
      </c>
      <c r="L32" s="5">
        <f>IF(I32&lt;&gt;"",I32,IF(AND(G32&lt;&gt;"",H32&lt;&gt;""),G32*(1-H32/100),""))</f>
        <v/>
      </c>
      <c r="M32" s="5">
        <f>IF(J32&lt;&gt;"",J32,IF(AND(G32&lt;&gt;"",H32&lt;&gt;""),G32*(1+H32/100),""))</f>
        <v/>
      </c>
      <c r="N32" s="4" t="inlineStr">
        <is>
          <t>coefficient</t>
        </is>
      </c>
      <c r="O32" s="4" t="inlineStr"/>
      <c r="P32" s="6" t="inlineStr"/>
    </row>
    <row r="33" hidden="1" ht="18" customHeight="1" s="27">
      <c r="A33" s="2" t="inlineStr">
        <is>
          <t>dairy</t>
        </is>
      </c>
      <c r="B33" s="21" t="inlineStr">
        <is>
          <t>Intensive</t>
        </is>
      </c>
      <c r="C33" s="22" t="inlineStr">
        <is>
          <t>DINT_bull</t>
        </is>
      </c>
      <c r="D33" s="4" t="inlineStr">
        <is>
          <t>Fat</t>
        </is>
      </c>
      <c r="E33" s="4" t="inlineStr">
        <is>
          <t>Milk fat content of the diet</t>
        </is>
      </c>
      <c r="F33" s="4" t="inlineStr">
        <is>
          <t>%</t>
        </is>
      </c>
      <c r="G33" s="2" t="n">
        <v>0</v>
      </c>
      <c r="H33" s="2" t="n">
        <v>0</v>
      </c>
      <c r="I33" s="6" t="n"/>
      <c r="J33" s="6" t="n"/>
      <c r="K33" s="3" t="inlineStr">
        <is>
          <t>normal</t>
        </is>
      </c>
      <c r="L33" s="5">
        <f>IF(I33&lt;&gt;"",I33,IF(AND(G33&lt;&gt;"",H33&lt;&gt;""),G33*(1-H33/100),""))</f>
        <v/>
      </c>
      <c r="M33" s="5">
        <f>IF(J33&lt;&gt;"",J33,IF(AND(G33&lt;&gt;"",H33&lt;&gt;""),G33*(1+H33/100),""))</f>
        <v/>
      </c>
      <c r="N33" s="4" t="inlineStr">
        <is>
          <t>coefficient</t>
        </is>
      </c>
      <c r="O33" s="4" t="inlineStr"/>
      <c r="P33" s="6" t="inlineStr"/>
    </row>
    <row r="34" hidden="1" ht="18" customHeight="1" s="27">
      <c r="A34" s="2" t="inlineStr">
        <is>
          <t>dairy</t>
        </is>
      </c>
      <c r="B34" s="21" t="inlineStr">
        <is>
          <t>Intensive</t>
        </is>
      </c>
      <c r="C34" s="22" t="inlineStr">
        <is>
          <t>DINT_bull</t>
        </is>
      </c>
      <c r="D34" s="4" t="inlineStr">
        <is>
          <t>pct_calving</t>
        </is>
      </c>
      <c r="E34" s="4" t="inlineStr">
        <is>
          <t>Fraction of females that give birth (calve) in a year (0 to 1) - IPCC 2019 Refinement Vol.4 Ch.10 §10.5. NOT the same as 'snapshot % lactating'; this is the annual calving rate, which weights NEl, NEp and N excretion across the sub-category.</t>
        </is>
      </c>
      <c r="F34" s="4" t="inlineStr">
        <is>
          <t>fraction (0-1)</t>
        </is>
      </c>
      <c r="G34" s="2" t="n">
        <v>0</v>
      </c>
      <c r="H34" s="2" t="n">
        <v>0</v>
      </c>
      <c r="I34" s="6" t="n"/>
      <c r="J34" s="6" t="n"/>
      <c r="K34" s="3" t="inlineStr">
        <is>
          <t>normal</t>
        </is>
      </c>
      <c r="L34" s="5">
        <f>IF(I34&lt;&gt;"",I34,IF(AND(G34&lt;&gt;"",H34&lt;&gt;""),G34*(1-H34/100),""))</f>
        <v/>
      </c>
      <c r="M34" s="5">
        <f>IF(J34&lt;&gt;"",J34,IF(AND(G34&lt;&gt;"",H34&lt;&gt;""),G34*(1+H34/100),""))</f>
        <v/>
      </c>
      <c r="N34" s="4" t="inlineStr">
        <is>
          <t>coefficient</t>
        </is>
      </c>
      <c r="O34" s="4" t="inlineStr"/>
      <c r="P34" s="6" t="inlineStr"/>
    </row>
    <row r="35" hidden="1" ht="18" customHeight="1" s="27">
      <c r="A35" s="2" t="inlineStr">
        <is>
          <t>dairy</t>
        </is>
      </c>
      <c r="B35" s="21" t="inlineStr">
        <is>
          <t>Intensive</t>
        </is>
      </c>
      <c r="C35" s="22" t="inlineStr">
        <is>
          <t>DINT_bull</t>
        </is>
      </c>
      <c r="D35" s="4" t="inlineStr">
        <is>
          <t>DE</t>
        </is>
      </c>
      <c r="E35" s="4" t="inlineStr">
        <is>
          <t>Digestible energy as a percentage of gross energy — typical range 45-75%</t>
        </is>
      </c>
      <c r="F35" s="4" t="inlineStr">
        <is>
          <t>%</t>
        </is>
      </c>
      <c r="G35" s="2" t="n">
        <v>66.26000000000001</v>
      </c>
      <c r="H35" s="2" t="n"/>
      <c r="I35" s="6" t="n">
        <v>55.26</v>
      </c>
      <c r="J35" s="6" t="n">
        <v>71.48999999999999</v>
      </c>
      <c r="K35" s="3" t="inlineStr">
        <is>
          <t>pert</t>
        </is>
      </c>
      <c r="L35" s="5">
        <f>IF(I35&lt;&gt;"",I35,IF(AND(G35&lt;&gt;"",H35&lt;&gt;""),G35*(1-H35/100),""))</f>
        <v/>
      </c>
      <c r="M35" s="5">
        <f>IF(J35&lt;&gt;"",J35,IF(AND(G35&lt;&gt;"",H35&lt;&gt;""),G35*(1+H35/100),""))</f>
        <v/>
      </c>
      <c r="N35" s="4" t="inlineStr">
        <is>
          <t>coefficient</t>
        </is>
      </c>
      <c r="O35" s="4" t="inlineStr">
        <is>
          <t>Table 10.2</t>
        </is>
      </c>
      <c r="P35" s="6" t="inlineStr"/>
    </row>
    <row r="36" hidden="1" ht="18" customHeight="1" s="27">
      <c r="A36" s="2" t="inlineStr">
        <is>
          <t>dairy</t>
        </is>
      </c>
      <c r="B36" s="21" t="inlineStr">
        <is>
          <t>Intensive</t>
        </is>
      </c>
      <c r="C36" s="22" t="inlineStr">
        <is>
          <t>DINT_bull</t>
        </is>
      </c>
      <c r="D36" s="4" t="inlineStr">
        <is>
          <t>Cfi</t>
        </is>
      </c>
      <c r="E36" s="4" t="inlineStr">
        <is>
          <t>Maintenance energy coefficient — depends on sex and lactation status (IPCC Table 10.4)</t>
        </is>
      </c>
      <c r="F36" s="4" t="inlineStr">
        <is>
          <t>MJ/day/kg^0.75</t>
        </is>
      </c>
      <c r="G36" s="11" t="n">
        <v>0.37</v>
      </c>
      <c r="H36" s="11" t="n">
        <v>15</v>
      </c>
      <c r="I36" s="6" t="n"/>
      <c r="J36" s="6" t="n"/>
      <c r="K36" s="3" t="inlineStr">
        <is>
          <t>beta</t>
        </is>
      </c>
      <c r="L36" s="5">
        <f>IF(I36&lt;&gt;"",I36,IF(AND(G36&lt;&gt;"",H36&lt;&gt;""),G36*(1-H36/100),""))</f>
        <v/>
      </c>
      <c r="M36" s="5">
        <f>IF(J36&lt;&gt;"",J36,IF(AND(G36&lt;&gt;"",H36&lt;&gt;""),G36*(1+H36/100),""))</f>
        <v/>
      </c>
      <c r="N36" s="4" t="inlineStr">
        <is>
          <t>coefficient</t>
        </is>
      </c>
      <c r="O36" s="4" t="inlineStr">
        <is>
          <t>Table 10.4</t>
        </is>
      </c>
      <c r="P36" s="6" t="inlineStr"/>
    </row>
    <row r="37" hidden="1" ht="18" customHeight="1" s="27">
      <c r="A37" s="2" t="inlineStr">
        <is>
          <t>dairy</t>
        </is>
      </c>
      <c r="B37" s="21" t="inlineStr">
        <is>
          <t>Intensive</t>
        </is>
      </c>
      <c r="C37" s="22" t="inlineStr">
        <is>
          <t>DINT_bull</t>
        </is>
      </c>
      <c r="D37" s="4" t="inlineStr">
        <is>
          <t>Ca</t>
        </is>
      </c>
      <c r="E37" s="4" t="inlineStr">
        <is>
          <t>Activity coefficient for locomotion energy — depends on feeding situation (IPCC Table 10.5)</t>
        </is>
      </c>
      <c r="F37" s="4" t="inlineStr">
        <is>
          <t>dimensionless</t>
        </is>
      </c>
      <c r="G37" s="11" t="n">
        <v>0.17</v>
      </c>
      <c r="H37" s="11" t="n">
        <v>15</v>
      </c>
      <c r="I37" s="6" t="n"/>
      <c r="J37" s="6" t="n"/>
      <c r="K37" s="3" t="inlineStr">
        <is>
          <t>triangular</t>
        </is>
      </c>
      <c r="L37" s="5">
        <f>IF(I37&lt;&gt;"",I37,IF(AND(G37&lt;&gt;"",H37&lt;&gt;""),G37*(1-H37/100),""))</f>
        <v/>
      </c>
      <c r="M37" s="5">
        <f>IF(J37&lt;&gt;"",J37,IF(AND(G37&lt;&gt;"",H37&lt;&gt;""),G37*(1+H37/100),""))</f>
        <v/>
      </c>
      <c r="N37" s="4" t="inlineStr">
        <is>
          <t>coefficient</t>
        </is>
      </c>
      <c r="O37" s="4" t="inlineStr">
        <is>
          <t>Table 10.5</t>
        </is>
      </c>
      <c r="P37" s="6" t="inlineStr"/>
    </row>
    <row r="38" hidden="1" ht="18" customHeight="1" s="27">
      <c r="A38" s="2" t="inlineStr">
        <is>
          <t>dairy</t>
        </is>
      </c>
      <c r="B38" s="21" t="inlineStr">
        <is>
          <t>Intensive</t>
        </is>
      </c>
      <c r="C38" s="22" t="inlineStr">
        <is>
          <t>DINT_bull</t>
        </is>
      </c>
      <c r="D38" s="4" t="inlineStr">
        <is>
          <t>C</t>
        </is>
      </c>
      <c r="E38" s="4" t="inlineStr">
        <is>
          <t>Growth coefficient for the NEg equation — depends on sex (IPCC Eq 10.6)</t>
        </is>
      </c>
      <c r="F38" s="4" t="inlineStr">
        <is>
          <t>dimensionless</t>
        </is>
      </c>
      <c r="G38" s="11" t="n">
        <v>1.2</v>
      </c>
      <c r="H38" s="11" t="n">
        <v>15</v>
      </c>
      <c r="I38" s="6" t="n"/>
      <c r="J38" s="6" t="n"/>
      <c r="K38" s="3" t="inlineStr">
        <is>
          <t>posnorm</t>
        </is>
      </c>
      <c r="L38" s="5">
        <f>IF(I38&lt;&gt;"",I38,IF(AND(G38&lt;&gt;"",H38&lt;&gt;""),G38*(1-H38/100),""))</f>
        <v/>
      </c>
      <c r="M38" s="5">
        <f>IF(J38&lt;&gt;"",J38,IF(AND(G38&lt;&gt;"",H38&lt;&gt;""),G38*(1+H38/100),""))</f>
        <v/>
      </c>
      <c r="N38" s="4" t="inlineStr">
        <is>
          <t>coefficient</t>
        </is>
      </c>
      <c r="O38" s="4" t="inlineStr">
        <is>
          <t>Eq 10.6</t>
        </is>
      </c>
      <c r="P38" s="6" t="inlineStr"/>
    </row>
    <row r="39" hidden="1" ht="18" customHeight="1" s="27">
      <c r="A39" s="2" t="inlineStr">
        <is>
          <t>dairy</t>
        </is>
      </c>
      <c r="B39" s="21" t="inlineStr">
        <is>
          <t>Intensive</t>
        </is>
      </c>
      <c r="C39" s="22" t="inlineStr">
        <is>
          <t>DINT_bull</t>
        </is>
      </c>
      <c r="D39" s="4" t="inlineStr">
        <is>
          <t>Cp</t>
        </is>
      </c>
      <c r="E39" s="4" t="inlineStr">
        <is>
          <t>Pregnancy coefficient — 0.10 for pregnant animals (IPCC Table 10.7)</t>
        </is>
      </c>
      <c r="F39" s="4" t="inlineStr">
        <is>
          <t>dimensionless</t>
        </is>
      </c>
      <c r="G39" s="11" t="n">
        <v>0.1</v>
      </c>
      <c r="H39" s="11" t="n">
        <v>15</v>
      </c>
      <c r="I39" s="6" t="n"/>
      <c r="J39" s="6" t="n"/>
      <c r="K39" s="3" t="inlineStr">
        <is>
          <t>beta</t>
        </is>
      </c>
      <c r="L39" s="5">
        <f>IF(I39&lt;&gt;"",I39,IF(AND(G39&lt;&gt;"",H39&lt;&gt;""),G39*(1-H39/100),""))</f>
        <v/>
      </c>
      <c r="M39" s="5">
        <f>IF(J39&lt;&gt;"",J39,IF(AND(G39&lt;&gt;"",H39&lt;&gt;""),G39*(1+H39/100),""))</f>
        <v/>
      </c>
      <c r="N39" s="4" t="inlineStr">
        <is>
          <t>coefficient</t>
        </is>
      </c>
      <c r="O39" s="4" t="inlineStr">
        <is>
          <t>Table 10.7</t>
        </is>
      </c>
      <c r="P39" s="6" t="inlineStr"/>
    </row>
    <row r="40" hidden="1" ht="18" customHeight="1" s="27">
      <c r="A40" s="2" t="inlineStr">
        <is>
          <t>dairy</t>
        </is>
      </c>
      <c r="B40" s="21" t="inlineStr">
        <is>
          <t>Intensive</t>
        </is>
      </c>
      <c r="C40" s="22" t="inlineStr">
        <is>
          <t>DINT_bull</t>
        </is>
      </c>
      <c r="D40" s="4" t="inlineStr">
        <is>
          <t>hours</t>
        </is>
      </c>
      <c r="E40" s="4" t="inlineStr">
        <is>
          <t>Daily working hours (IPCC Vol.4 Ch.10 Eq. 10.11) - set 0 when animals do no work (typical for dairy/beef cattle inventories).</t>
        </is>
      </c>
      <c r="F40" s="4" t="inlineStr">
        <is>
          <t>hours/day</t>
        </is>
      </c>
      <c r="G40" s="2" t="n">
        <v>0</v>
      </c>
      <c r="H40" s="2" t="n">
        <v>0</v>
      </c>
      <c r="I40" s="6" t="n"/>
      <c r="J40" s="6" t="n"/>
      <c r="K40" s="3" t="inlineStr">
        <is>
          <t>pert</t>
        </is>
      </c>
      <c r="L40" s="5">
        <f>IF(I40&lt;&gt;"",I40,IF(AND(G40&lt;&gt;"",H40&lt;&gt;""),G40*(1-H40/100),""))</f>
        <v/>
      </c>
      <c r="M40" s="5">
        <f>IF(J40&lt;&gt;"",J40,IF(AND(G40&lt;&gt;"",H40&lt;&gt;""),G40*(1+H40/100),""))</f>
        <v/>
      </c>
      <c r="N40" s="4" t="inlineStr">
        <is>
          <t>coefficient</t>
        </is>
      </c>
      <c r="O40" s="4" t="inlineStr">
        <is>
          <t>Eq 10.11</t>
        </is>
      </c>
      <c r="P40" s="6" t="inlineStr"/>
    </row>
    <row r="41" hidden="1" ht="18" customHeight="1" s="27">
      <c r="A41" s="2" t="inlineStr">
        <is>
          <t>dairy</t>
        </is>
      </c>
      <c r="B41" s="21" t="inlineStr">
        <is>
          <t>Intensive</t>
        </is>
      </c>
      <c r="C41" s="22" t="inlineStr">
        <is>
          <t>DINT_bull</t>
        </is>
      </c>
      <c r="D41" s="4" t="inlineStr">
        <is>
          <t>CP</t>
        </is>
      </c>
      <c r="E41" s="4" t="inlineStr">
        <is>
          <t>Crude protein content of the diet — used to estimate nitrogen excretion</t>
        </is>
      </c>
      <c r="F41" s="4" t="inlineStr">
        <is>
          <t>%</t>
        </is>
      </c>
      <c r="G41" s="2" t="n">
        <v>10.78</v>
      </c>
      <c r="H41" s="2" t="n"/>
      <c r="I41" s="6" t="n">
        <v>10.624</v>
      </c>
      <c r="J41" s="6" t="n">
        <v>13.827</v>
      </c>
      <c r="K41" s="3" t="inlineStr">
        <is>
          <t>pert</t>
        </is>
      </c>
      <c r="L41" s="5">
        <f>IF(I41&lt;&gt;"",I41,IF(AND(G41&lt;&gt;"",H41&lt;&gt;""),G41*(1-H41/100),""))</f>
        <v/>
      </c>
      <c r="M41" s="5">
        <f>IF(J41&lt;&gt;"",J41,IF(AND(G41&lt;&gt;"",H41&lt;&gt;""),G41*(1+H41/100),""))</f>
        <v/>
      </c>
      <c r="N41" s="4" t="inlineStr">
        <is>
          <t>coefficient</t>
        </is>
      </c>
      <c r="O41" s="4" t="inlineStr"/>
      <c r="P41" s="6" t="inlineStr"/>
    </row>
    <row r="42" hidden="1" ht="18" customHeight="1" s="27">
      <c r="A42" s="2" t="inlineStr">
        <is>
          <t>dairy</t>
        </is>
      </c>
      <c r="B42" s="21" t="inlineStr">
        <is>
          <t>Intensive</t>
        </is>
      </c>
      <c r="C42" s="22" t="inlineStr">
        <is>
          <t>DINT_bull</t>
        </is>
      </c>
      <c r="D42" s="4" t="inlineStr">
        <is>
          <t>Ym</t>
        </is>
      </c>
      <c r="E42" s="4" t="inlineStr">
        <is>
          <t>Methane conversion factor: % of gross energy converted to enteric CH4 (IPCC Table 10.12)</t>
        </is>
      </c>
      <c r="F42" s="4" t="inlineStr">
        <is>
          <t>%</t>
        </is>
      </c>
      <c r="G42" s="11" t="n">
        <v>6.3</v>
      </c>
      <c r="H42" s="11" t="n">
        <v>20</v>
      </c>
      <c r="I42" s="6" t="n"/>
      <c r="J42" s="6" t="n"/>
      <c r="K42" s="3" t="inlineStr">
        <is>
          <t>posnorm</t>
        </is>
      </c>
      <c r="L42" s="5">
        <f>IF(I42&lt;&gt;"",I42,IF(AND(G42&lt;&gt;"",H42&lt;&gt;""),G42*(1-H42/100),""))</f>
        <v/>
      </c>
      <c r="M42" s="5">
        <f>IF(J42&lt;&gt;"",J42,IF(AND(G42&lt;&gt;"",H42&lt;&gt;""),G42*(1+H42/100),""))</f>
        <v/>
      </c>
      <c r="N42" s="4" t="inlineStr">
        <is>
          <t>coefficient</t>
        </is>
      </c>
      <c r="O42" s="4" t="inlineStr">
        <is>
          <t>Table 10.12</t>
        </is>
      </c>
      <c r="P42" s="6" t="inlineStr"/>
    </row>
    <row r="43" hidden="1" ht="18" customHeight="1" s="27">
      <c r="A43" s="2" t="inlineStr">
        <is>
          <t>dairy</t>
        </is>
      </c>
      <c r="B43" s="21" t="inlineStr">
        <is>
          <t>Intensive</t>
        </is>
      </c>
      <c r="C43" s="22" t="inlineStr">
        <is>
          <t>DINT_bull</t>
        </is>
      </c>
      <c r="D43" s="4" t="inlineStr">
        <is>
          <t>Bo</t>
        </is>
      </c>
      <c r="E43" s="4" t="inlineStr">
        <is>
          <t>Maximum CH4 producing capacity of manure - IPCC 2019 Refinement Vol.4 Ch.10 Table 10.16(a) (Updated). Default for cattle in 'Other regions, low productivity' = 0.13 (matches 2019R Africa/Asia cattle low-productivity). Intensive dairy in NA/W.Europe = 0.24. 2006 Africa default = 0.10. Adjust to match your production system.</t>
        </is>
      </c>
      <c r="F43" s="4" t="inlineStr">
        <is>
          <t>m3 CH4/kg VS</t>
        </is>
      </c>
      <c r="G43" s="11" t="n">
        <v>0.13</v>
      </c>
      <c r="H43" s="11" t="n">
        <v>15</v>
      </c>
      <c r="I43" s="6" t="n"/>
      <c r="J43" s="6" t="n"/>
      <c r="K43" s="3" t="inlineStr">
        <is>
          <t>pert</t>
        </is>
      </c>
      <c r="L43" s="5">
        <f>IF(I43&lt;&gt;"",I43,IF(AND(G43&lt;&gt;"",H43&lt;&gt;""),G43*(1-H43/100),""))</f>
        <v/>
      </c>
      <c r="M43" s="5">
        <f>IF(J43&lt;&gt;"",J43,IF(AND(G43&lt;&gt;"",H43&lt;&gt;""),G43*(1+H43/100),""))</f>
        <v/>
      </c>
      <c r="N43" s="4" t="inlineStr">
        <is>
          <t>coefficient</t>
        </is>
      </c>
      <c r="O43" s="4" t="inlineStr">
        <is>
          <t>Table 10.16</t>
        </is>
      </c>
      <c r="P43" s="6" t="inlineStr"/>
    </row>
    <row r="44" hidden="1" ht="18" customHeight="1" s="27">
      <c r="A44" s="2" t="inlineStr">
        <is>
          <t>dairy</t>
        </is>
      </c>
      <c r="B44" s="21" t="inlineStr">
        <is>
          <t>Intensive</t>
        </is>
      </c>
      <c r="C44" s="22" t="inlineStr">
        <is>
          <t>DINT_bull</t>
        </is>
      </c>
      <c r="D44" s="4" t="inlineStr">
        <is>
          <t>ASH</t>
        </is>
      </c>
      <c r="E44" s="4" t="inlineStr">
        <is>
          <t>Ash content of manure — IPCC default 0.08 (Eq 10.24 footnote)</t>
        </is>
      </c>
      <c r="F44" s="4" t="inlineStr">
        <is>
          <t>fraction</t>
        </is>
      </c>
      <c r="G44" s="11" t="n">
        <v>0.08</v>
      </c>
      <c r="H44" s="11" t="n">
        <v>10</v>
      </c>
      <c r="I44" s="6" t="n"/>
      <c r="J44" s="6" t="n"/>
      <c r="K44" s="3" t="inlineStr">
        <is>
          <t>tnorm_0_1</t>
        </is>
      </c>
      <c r="L44" s="5">
        <f>IF(I44&lt;&gt;"",I44,IF(AND(G44&lt;&gt;"",H44&lt;&gt;""),G44*(1-H44/100),""))</f>
        <v/>
      </c>
      <c r="M44" s="5">
        <f>IF(J44&lt;&gt;"",J44,IF(AND(G44&lt;&gt;"",H44&lt;&gt;""),G44*(1+H44/100),""))</f>
        <v/>
      </c>
      <c r="N44" s="4" t="inlineStr">
        <is>
          <t>coefficient</t>
        </is>
      </c>
      <c r="O44" s="4" t="inlineStr">
        <is>
          <t>Eq 10.24</t>
        </is>
      </c>
      <c r="P44" s="6" t="inlineStr"/>
    </row>
    <row r="45" hidden="1" ht="18" customHeight="1" s="27">
      <c r="A45" s="2" t="inlineStr">
        <is>
          <t>dairy</t>
        </is>
      </c>
      <c r="B45" s="21" t="inlineStr">
        <is>
          <t>Intensive</t>
        </is>
      </c>
      <c r="C45" s="22" t="inlineStr">
        <is>
          <t>DINT_bull</t>
        </is>
      </c>
      <c r="D45" s="4" t="inlineStr">
        <is>
          <t>UE</t>
        </is>
      </c>
      <c r="E45" s="4" t="inlineStr">
        <is>
          <t>Urinary energy as fraction of gross energy — IPCC default 0.04 (Eq 10.24 footnote)</t>
        </is>
      </c>
      <c r="F45" s="4" t="inlineStr">
        <is>
          <t>fraction</t>
        </is>
      </c>
      <c r="G45" s="11" t="n">
        <v>0.04</v>
      </c>
      <c r="H45" s="11" t="n">
        <v>0</v>
      </c>
      <c r="I45" s="6" t="n"/>
      <c r="J45" s="6" t="n"/>
      <c r="K45" s="3" t="inlineStr">
        <is>
          <t>pert</t>
        </is>
      </c>
      <c r="L45" s="5">
        <f>IF(I45&lt;&gt;"",I45,IF(AND(G45&lt;&gt;"",H45&lt;&gt;""),G45*(1-H45/100),""))</f>
        <v/>
      </c>
      <c r="M45" s="5">
        <f>IF(J45&lt;&gt;"",J45,IF(AND(G45&lt;&gt;"",H45&lt;&gt;""),G45*(1+H45/100),""))</f>
        <v/>
      </c>
      <c r="N45" s="4" t="inlineStr">
        <is>
          <t>coefficient</t>
        </is>
      </c>
      <c r="O45" s="4" t="inlineStr">
        <is>
          <t>Eq 10.24</t>
        </is>
      </c>
      <c r="P45" s="6" t="inlineStr"/>
    </row>
    <row r="46" hidden="1" ht="18" customHeight="1" s="27">
      <c r="A46" s="2" t="inlineStr">
        <is>
          <t>dairy</t>
        </is>
      </c>
      <c r="B46" s="21" t="inlineStr">
        <is>
          <t>Intensive</t>
        </is>
      </c>
      <c r="C46" s="22" t="inlineStr">
        <is>
          <t>DINT_bull</t>
        </is>
      </c>
      <c r="D46" s="4" t="inlineStr">
        <is>
          <t>EF3_PRP</t>
        </is>
      </c>
      <c r="E46" s="4" t="inlineStr">
        <is>
          <t>Direct N2O EF for dung/urine on pasture/range/paddock - IPCC Vol.4 Ch.11 Table 11.1. 2006 cattle/poultry/pigs = 0.02. 2019R EF3_PRP,CPP for cattle/poultry/pigs: aggregated = 0.004 (range 0.000-0.014); wet climate = 0.006 (0.000-0.027); dry climate = 0.002 (0.000-0.007).</t>
        </is>
      </c>
      <c r="F46" s="4" t="inlineStr">
        <is>
          <t>kg N2O-N/kg N</t>
        </is>
      </c>
      <c r="G46" s="11" t="n">
        <v>0.004</v>
      </c>
      <c r="H46" s="11" t="n"/>
      <c r="I46" s="6" t="n">
        <v>0</v>
      </c>
      <c r="J46" s="6" t="n">
        <v>0.014</v>
      </c>
      <c r="K46" s="3" t="inlineStr">
        <is>
          <t>pert</t>
        </is>
      </c>
      <c r="L46" s="5">
        <f>IF(I46&lt;&gt;"",I46,IF(AND(G46&lt;&gt;"",H46&lt;&gt;""),G46*(1-H46/100),""))</f>
        <v/>
      </c>
      <c r="M46" s="5">
        <f>IF(J46&lt;&gt;"",J46,IF(AND(G46&lt;&gt;"",H46&lt;&gt;""),G46*(1+H46/100),""))</f>
        <v/>
      </c>
      <c r="N46" s="4" t="inlineStr">
        <is>
          <t>coefficient</t>
        </is>
      </c>
      <c r="O46" s="4" t="inlineStr">
        <is>
          <t>Table 11.1</t>
        </is>
      </c>
      <c r="P46" s="6" t="inlineStr"/>
    </row>
    <row r="47" hidden="1" ht="18" customHeight="1" s="27">
      <c r="A47" s="2" t="inlineStr">
        <is>
          <t>dairy</t>
        </is>
      </c>
      <c r="B47" s="21" t="inlineStr">
        <is>
          <t>Intensive</t>
        </is>
      </c>
      <c r="C47" s="22" t="inlineStr">
        <is>
          <t>DINT_bull</t>
        </is>
      </c>
      <c r="D47" s="4" t="inlineStr">
        <is>
          <t>Frac_GASMS</t>
        </is>
      </c>
      <c r="E47" s="4" t="inlineStr">
        <is>
          <t>Fraction of managed manure N volatilised as NH3/NOx - per IPCC 2019 Refinement Vol.4 Ch.10 Table 10.22 (per manure management system). On the soil side this same fraction is FracGASM in Ch.11 Table 11.3: 2019R = 0.21 (range 0.00-0.31); 2006 = 0.20.</t>
        </is>
      </c>
      <c r="F47" s="4" t="inlineStr">
        <is>
          <t>fraction</t>
        </is>
      </c>
      <c r="G47" s="11" t="n">
        <v>0.21</v>
      </c>
      <c r="H47" s="11" t="n">
        <v>40</v>
      </c>
      <c r="I47" s="6" t="n">
        <v>0</v>
      </c>
      <c r="J47" s="6" t="n">
        <v>0.31</v>
      </c>
      <c r="K47" s="3" t="inlineStr">
        <is>
          <t>pert</t>
        </is>
      </c>
      <c r="L47" s="5">
        <f>IF(I47&lt;&gt;"",I47,IF(AND(G47&lt;&gt;"",H47&lt;&gt;""),G47*(1-H47/100),""))</f>
        <v/>
      </c>
      <c r="M47" s="5">
        <f>IF(J47&lt;&gt;"",J47,IF(AND(G47&lt;&gt;"",H47&lt;&gt;""),G47*(1+H47/100),""))</f>
        <v/>
      </c>
      <c r="N47" s="4" t="inlineStr">
        <is>
          <t>coefficient</t>
        </is>
      </c>
      <c r="O47" s="4" t="inlineStr">
        <is>
          <t>Table 10.22</t>
        </is>
      </c>
      <c r="P47" s="6" t="inlineStr"/>
    </row>
    <row r="48" hidden="1" ht="18" customHeight="1" s="27">
      <c r="A48" s="2" t="inlineStr">
        <is>
          <t>dairy</t>
        </is>
      </c>
      <c r="B48" s="21" t="inlineStr">
        <is>
          <t>Intensive</t>
        </is>
      </c>
      <c r="C48" s="22" t="inlineStr">
        <is>
          <t>DINT_bull</t>
        </is>
      </c>
      <c r="D48" s="4" t="inlineStr">
        <is>
          <t>EF4</t>
        </is>
      </c>
      <c r="E48" s="4" t="inlineStr">
        <is>
          <t>N2O EF for atmospheric N deposition - IPCC Vol.4 Ch.11 Table 11.3. 2006 = 0.010. 2019 Refinement: aggregated default = 0.010 (range 0.002-0.018); wet climate = 0.014 (0.011-0.017); dry climate = 0.005 (0.000-0.011). Use 0.014 only when classifying as wet climate.</t>
        </is>
      </c>
      <c r="F48" s="4" t="inlineStr">
        <is>
          <t>kg N2O-N/kg N</t>
        </is>
      </c>
      <c r="G48" s="11" t="n">
        <v>0.01</v>
      </c>
      <c r="H48" s="11" t="n"/>
      <c r="I48" s="6" t="n">
        <v>0.002</v>
      </c>
      <c r="J48" s="6" t="n">
        <v>0.018</v>
      </c>
      <c r="K48" s="3" t="inlineStr">
        <is>
          <t>pert</t>
        </is>
      </c>
      <c r="L48" s="5">
        <f>IF(I48&lt;&gt;"",I48,IF(AND(G48&lt;&gt;"",H48&lt;&gt;""),G48*(1-H48/100),""))</f>
        <v/>
      </c>
      <c r="M48" s="5">
        <f>IF(J48&lt;&gt;"",J48,IF(AND(G48&lt;&gt;"",H48&lt;&gt;""),G48*(1+H48/100),""))</f>
        <v/>
      </c>
      <c r="N48" s="4" t="inlineStr">
        <is>
          <t>coefficient</t>
        </is>
      </c>
      <c r="O48" s="4" t="inlineStr">
        <is>
          <t>Table 11.3</t>
        </is>
      </c>
      <c r="P48" s="6" t="inlineStr"/>
    </row>
    <row r="49" hidden="1" ht="18" customHeight="1" s="27">
      <c r="A49" s="2" t="inlineStr">
        <is>
          <t>dairy</t>
        </is>
      </c>
      <c r="B49" s="21" t="inlineStr">
        <is>
          <t>Intensive</t>
        </is>
      </c>
      <c r="C49" s="22" t="inlineStr">
        <is>
          <t>DINT_bull</t>
        </is>
      </c>
      <c r="D49" s="4" t="inlineStr">
        <is>
          <t>EF5</t>
        </is>
      </c>
      <c r="E49" s="4" t="inlineStr">
        <is>
          <t>N2O EF for N leaching/runoff - IPCC Vol.4 Ch.11 Table 11.3. 2006 default = 0.0075; 2019 Refinement updated to 0.011 kg N2O-N/kg N leached/runoff (range 0.000-0.020). No climate disaggregation.</t>
        </is>
      </c>
      <c r="F49" s="4" t="inlineStr">
        <is>
          <t>kg N2O-N/kg N</t>
        </is>
      </c>
      <c r="G49" s="11" t="n">
        <v>0.011</v>
      </c>
      <c r="H49" s="11" t="n"/>
      <c r="I49" s="6" t="n">
        <v>0</v>
      </c>
      <c r="J49" s="6" t="n">
        <v>0.02</v>
      </c>
      <c r="K49" s="3" t="inlineStr">
        <is>
          <t>pert</t>
        </is>
      </c>
      <c r="L49" s="5">
        <f>IF(I49&lt;&gt;"",I49,IF(AND(G49&lt;&gt;"",H49&lt;&gt;""),G49*(1-H49/100),""))</f>
        <v/>
      </c>
      <c r="M49" s="5">
        <f>IF(J49&lt;&gt;"",J49,IF(AND(G49&lt;&gt;"",H49&lt;&gt;""),G49*(1+H49/100),""))</f>
        <v/>
      </c>
      <c r="N49" s="4" t="inlineStr">
        <is>
          <t>coefficient</t>
        </is>
      </c>
      <c r="O49" s="4" t="inlineStr">
        <is>
          <t>Table 11.3</t>
        </is>
      </c>
      <c r="P49" s="6" t="inlineStr"/>
    </row>
    <row r="50" hidden="1" ht="18" customHeight="1" s="27">
      <c r="A50" s="2" t="inlineStr">
        <is>
          <t>dairy</t>
        </is>
      </c>
      <c r="B50" s="21" t="inlineStr">
        <is>
          <t>Intensive</t>
        </is>
      </c>
      <c r="C50" s="22" t="inlineStr">
        <is>
          <t>DINT_bull</t>
        </is>
      </c>
      <c r="D50" s="4" t="inlineStr">
        <is>
          <t>Frac_LEACH_H</t>
        </is>
      </c>
      <c r="E50" s="4" t="inlineStr">
        <is>
          <t>Fraction of managed N lost through leaching (managed-storage side) - IPCC 2019 Refinement Vol.4 Ch.10 Table 10.23. Distinct from the pasture-side Frac_LEACH_PRP (FracLEACH-(H) in Ch.11 Table 11.3).</t>
        </is>
      </c>
      <c r="F50" s="4" t="inlineStr">
        <is>
          <t>fraction</t>
        </is>
      </c>
      <c r="G50" s="11" t="n">
        <v>0.02</v>
      </c>
      <c r="H50" s="11" t="n"/>
      <c r="I50" s="6" t="n">
        <v>0.006</v>
      </c>
      <c r="J50" s="6" t="n">
        <v>0.054</v>
      </c>
      <c r="K50" s="3" t="inlineStr">
        <is>
          <t>lognormal</t>
        </is>
      </c>
      <c r="L50" s="5">
        <f>IF(I50&lt;&gt;"",I50,IF(AND(G50&lt;&gt;"",H50&lt;&gt;""),G50*(1-H50/100),""))</f>
        <v/>
      </c>
      <c r="M50" s="5">
        <f>IF(J50&lt;&gt;"",J50,IF(AND(G50&lt;&gt;"",H50&lt;&gt;""),G50*(1+H50/100),""))</f>
        <v/>
      </c>
      <c r="N50" s="4" t="inlineStr">
        <is>
          <t>coefficient</t>
        </is>
      </c>
      <c r="O50" s="4" t="inlineStr">
        <is>
          <t>Table 11.3</t>
        </is>
      </c>
      <c r="P50" s="6" t="inlineStr"/>
    </row>
    <row r="51" hidden="1" ht="18" customHeight="1" s="27">
      <c r="A51" s="2" t="inlineStr">
        <is>
          <t>dairy</t>
        </is>
      </c>
      <c r="B51" s="21" t="inlineStr">
        <is>
          <t>Intensive</t>
        </is>
      </c>
      <c r="C51" s="22" t="inlineStr">
        <is>
          <t>DINT_bull</t>
        </is>
      </c>
      <c r="D51" s="4" t="inlineStr">
        <is>
          <t>MilkPR</t>
        </is>
      </c>
      <c r="E51" s="4" t="inlineStr">
        <is>
          <t>Protein content of milk (%) - feeds the milk-N term in IPCC Vol.4 Ch.10 Eq 10.33 (N retention for cattle, where the 6.38 milk-protein-to-N conversion factor is defined).</t>
        </is>
      </c>
      <c r="F51" s="4" t="inlineStr">
        <is>
          <t>%</t>
        </is>
      </c>
      <c r="G51" s="2" t="n">
        <v>3.42</v>
      </c>
      <c r="H51" s="2" t="n">
        <v>10</v>
      </c>
      <c r="I51" s="6" t="n"/>
      <c r="J51" s="6" t="n"/>
      <c r="K51" s="3" t="inlineStr">
        <is>
          <t>normal</t>
        </is>
      </c>
      <c r="L51" s="5">
        <f>IF(I51&lt;&gt;"",I51,IF(AND(G51&lt;&gt;"",H51&lt;&gt;""),G51*(1-H51/100),""))</f>
        <v/>
      </c>
      <c r="M51" s="5">
        <f>IF(J51&lt;&gt;"",J51,IF(AND(G51&lt;&gt;"",H51&lt;&gt;""),G51*(1+H51/100),""))</f>
        <v/>
      </c>
      <c r="N51" s="4" t="inlineStr">
        <is>
          <t>coefficient</t>
        </is>
      </c>
      <c r="O51" s="4" t="inlineStr">
        <is>
          <t>Table 10A.2</t>
        </is>
      </c>
      <c r="P51" s="6" t="inlineStr"/>
    </row>
    <row r="52" hidden="1" ht="18" customHeight="1" s="27">
      <c r="A52" s="2" t="inlineStr">
        <is>
          <t>dairy</t>
        </is>
      </c>
      <c r="B52" s="21" t="inlineStr">
        <is>
          <t>Intensive</t>
        </is>
      </c>
      <c r="C52" s="22" t="inlineStr">
        <is>
          <t>DINT_heif</t>
        </is>
      </c>
      <c r="D52" s="4" t="inlineStr">
        <is>
          <t>N</t>
        </is>
      </c>
      <c r="E52" s="4" t="inlineStr">
        <is>
          <t>Number of animals in this sub-category</t>
        </is>
      </c>
      <c r="F52" s="4" t="inlineStr">
        <is>
          <t>head</t>
        </is>
      </c>
      <c r="G52" s="2" t="n">
        <v>10124</v>
      </c>
      <c r="H52" s="2" t="n">
        <v>2.1</v>
      </c>
      <c r="I52" s="6" t="n"/>
      <c r="J52" s="6" t="n"/>
      <c r="K52" s="3" t="inlineStr">
        <is>
          <t>normal</t>
        </is>
      </c>
      <c r="L52" s="5">
        <f>IF(I52&lt;&gt;"",I52,IF(AND(G52&lt;&gt;"",H52&lt;&gt;""),G52*(1-H52/100),""))</f>
        <v/>
      </c>
      <c r="M52" s="5">
        <f>IF(J52&lt;&gt;"",J52,IF(AND(G52&lt;&gt;"",H52&lt;&gt;""),G52*(1+H52/100),""))</f>
        <v/>
      </c>
      <c r="N52" s="4" t="inlineStr">
        <is>
          <t>activity_data</t>
        </is>
      </c>
      <c r="O52" s="4" t="inlineStr"/>
      <c r="P52" s="6" t="inlineStr"/>
    </row>
    <row r="53" hidden="1" ht="18" customHeight="1" s="27">
      <c r="A53" s="2" t="inlineStr">
        <is>
          <t>dairy</t>
        </is>
      </c>
      <c r="B53" s="21" t="inlineStr">
        <is>
          <t>Intensive</t>
        </is>
      </c>
      <c r="C53" s="22" t="inlineStr">
        <is>
          <t>DINT_heif</t>
        </is>
      </c>
      <c r="D53" s="4" t="inlineStr">
        <is>
          <t>W</t>
        </is>
      </c>
      <c r="E53" s="4" t="inlineStr">
        <is>
          <t>Average live body weight of the animals</t>
        </is>
      </c>
      <c r="F53" s="4" t="inlineStr">
        <is>
          <t>kg</t>
        </is>
      </c>
      <c r="G53" s="2" t="n">
        <v>404.3</v>
      </c>
      <c r="H53" s="2" t="n">
        <v>8</v>
      </c>
      <c r="I53" s="6" t="n"/>
      <c r="J53" s="6" t="n"/>
      <c r="K53" s="3" t="inlineStr">
        <is>
          <t>normal</t>
        </is>
      </c>
      <c r="L53" s="5">
        <f>IF(I53&lt;&gt;"",I53,IF(AND(G53&lt;&gt;"",H53&lt;&gt;""),G53*(1-H53/100),""))</f>
        <v/>
      </c>
      <c r="M53" s="5">
        <f>IF(J53&lt;&gt;"",J53,IF(AND(G53&lt;&gt;"",H53&lt;&gt;""),G53*(1+H53/100),""))</f>
        <v/>
      </c>
      <c r="N53" s="4" t="inlineStr">
        <is>
          <t>coefficient</t>
        </is>
      </c>
      <c r="O53" s="4" t="inlineStr">
        <is>
          <t>Table 10A.2</t>
        </is>
      </c>
      <c r="P53" s="6" t="inlineStr"/>
    </row>
    <row r="54" hidden="1" ht="18" customHeight="1" s="27">
      <c r="A54" s="2" t="inlineStr">
        <is>
          <t>dairy</t>
        </is>
      </c>
      <c r="B54" s="21" t="inlineStr">
        <is>
          <t>Intensive</t>
        </is>
      </c>
      <c r="C54" s="22" t="inlineStr">
        <is>
          <t>DINT_heif</t>
        </is>
      </c>
      <c r="D54" s="4" t="inlineStr">
        <is>
          <t>MW</t>
        </is>
      </c>
      <c r="E54" s="4" t="inlineStr">
        <is>
          <t>Mature (adult) body weight of the animals</t>
        </is>
      </c>
      <c r="F54" s="4" t="inlineStr">
        <is>
          <t>kg</t>
        </is>
      </c>
      <c r="G54" s="2" t="n">
        <v>539</v>
      </c>
      <c r="H54" s="2" t="n">
        <v>0</v>
      </c>
      <c r="I54" s="6" t="n"/>
      <c r="J54" s="6" t="n"/>
      <c r="K54" s="3" t="inlineStr">
        <is>
          <t>normal</t>
        </is>
      </c>
      <c r="L54" s="5">
        <f>IF(I54&lt;&gt;"",I54,IF(AND(G54&lt;&gt;"",H54&lt;&gt;""),G54*(1-H54/100),""))</f>
        <v/>
      </c>
      <c r="M54" s="5">
        <f>IF(J54&lt;&gt;"",J54,IF(AND(G54&lt;&gt;"",H54&lt;&gt;""),G54*(1+H54/100),""))</f>
        <v/>
      </c>
      <c r="N54" s="4" t="inlineStr">
        <is>
          <t>coefficient</t>
        </is>
      </c>
      <c r="O54" s="4" t="inlineStr">
        <is>
          <t>Table 10A.2</t>
        </is>
      </c>
      <c r="P54" s="6" t="inlineStr"/>
    </row>
    <row r="55" hidden="1" ht="18" customHeight="1" s="27">
      <c r="A55" s="2" t="inlineStr">
        <is>
          <t>dairy</t>
        </is>
      </c>
      <c r="B55" s="21" t="inlineStr">
        <is>
          <t>Intensive</t>
        </is>
      </c>
      <c r="C55" s="22" t="inlineStr">
        <is>
          <t>DINT_heif</t>
        </is>
      </c>
      <c r="D55" s="4" t="inlineStr">
        <is>
          <t>WG</t>
        </is>
      </c>
      <c r="E55" s="4" t="inlineStr">
        <is>
          <t>Average daily weight gain — set 0 for non-growing (adult) animals</t>
        </is>
      </c>
      <c r="F55" s="4" t="inlineStr">
        <is>
          <t>kg/day</t>
        </is>
      </c>
      <c r="G55" s="2" t="n">
        <v>0.38</v>
      </c>
      <c r="H55" s="2" t="n"/>
      <c r="I55" s="6" t="n">
        <v>0.32</v>
      </c>
      <c r="J55" s="6" t="n">
        <v>0.76</v>
      </c>
      <c r="K55" s="3" t="inlineStr">
        <is>
          <t>pert</t>
        </is>
      </c>
      <c r="L55" s="5">
        <f>IF(I55&lt;&gt;"",I55,IF(AND(G55&lt;&gt;"",H55&lt;&gt;""),G55*(1-H55/100),""))</f>
        <v/>
      </c>
      <c r="M55" s="5">
        <f>IF(J55&lt;&gt;"",J55,IF(AND(G55&lt;&gt;"",H55&lt;&gt;""),G55*(1+H55/100),""))</f>
        <v/>
      </c>
      <c r="N55" s="4" t="inlineStr">
        <is>
          <t>coefficient</t>
        </is>
      </c>
      <c r="O55" s="4" t="inlineStr">
        <is>
          <t>Table 10A.1</t>
        </is>
      </c>
      <c r="P55" s="6" t="inlineStr"/>
    </row>
    <row r="56" hidden="1" ht="18" customHeight="1" s="27">
      <c r="A56" s="2" t="inlineStr">
        <is>
          <t>dairy</t>
        </is>
      </c>
      <c r="B56" s="21" t="inlineStr">
        <is>
          <t>Intensive</t>
        </is>
      </c>
      <c r="C56" s="22" t="inlineStr">
        <is>
          <t>DINT_heif</t>
        </is>
      </c>
      <c r="D56" s="4" t="inlineStr">
        <is>
          <t>Milk</t>
        </is>
      </c>
      <c r="E56" s="4" t="inlineStr">
        <is>
          <t>Daily milk yield per lactating cow — set 0 for non-dairy sub-categories</t>
        </is>
      </c>
      <c r="F56" s="4" t="inlineStr">
        <is>
          <t>kg/head/day</t>
        </is>
      </c>
      <c r="G56" s="2" t="n">
        <v>0</v>
      </c>
      <c r="H56" s="2" t="n">
        <v>0</v>
      </c>
      <c r="I56" s="6" t="n"/>
      <c r="J56" s="6" t="n"/>
      <c r="K56" s="3" t="inlineStr">
        <is>
          <t>normal</t>
        </is>
      </c>
      <c r="L56" s="5">
        <f>IF(I56&lt;&gt;"",I56,IF(AND(G56&lt;&gt;"",H56&lt;&gt;""),G56*(1-H56/100),""))</f>
        <v/>
      </c>
      <c r="M56" s="5">
        <f>IF(J56&lt;&gt;"",J56,IF(AND(G56&lt;&gt;"",H56&lt;&gt;""),G56*(1+H56/100),""))</f>
        <v/>
      </c>
      <c r="N56" s="4" t="inlineStr">
        <is>
          <t>coefficient</t>
        </is>
      </c>
      <c r="O56" s="4" t="inlineStr"/>
      <c r="P56" s="6" t="inlineStr"/>
    </row>
    <row r="57" hidden="1" ht="18" customHeight="1" s="27">
      <c r="A57" s="2" t="inlineStr">
        <is>
          <t>dairy</t>
        </is>
      </c>
      <c r="B57" s="21" t="inlineStr">
        <is>
          <t>Intensive</t>
        </is>
      </c>
      <c r="C57" s="22" t="inlineStr">
        <is>
          <t>DINT_heif</t>
        </is>
      </c>
      <c r="D57" s="4" t="inlineStr">
        <is>
          <t>Fat</t>
        </is>
      </c>
      <c r="E57" s="4" t="inlineStr">
        <is>
          <t>Milk fat content of the diet</t>
        </is>
      </c>
      <c r="F57" s="4" t="inlineStr">
        <is>
          <t>%</t>
        </is>
      </c>
      <c r="G57" s="2" t="n">
        <v>0</v>
      </c>
      <c r="H57" s="2" t="n">
        <v>0</v>
      </c>
      <c r="I57" s="6" t="n"/>
      <c r="J57" s="6" t="n"/>
      <c r="K57" s="3" t="inlineStr">
        <is>
          <t>normal</t>
        </is>
      </c>
      <c r="L57" s="5">
        <f>IF(I57&lt;&gt;"",I57,IF(AND(G57&lt;&gt;"",H57&lt;&gt;""),G57*(1-H57/100),""))</f>
        <v/>
      </c>
      <c r="M57" s="5">
        <f>IF(J57&lt;&gt;"",J57,IF(AND(G57&lt;&gt;"",H57&lt;&gt;""),G57*(1+H57/100),""))</f>
        <v/>
      </c>
      <c r="N57" s="4" t="inlineStr">
        <is>
          <t>coefficient</t>
        </is>
      </c>
      <c r="O57" s="4" t="inlineStr"/>
      <c r="P57" s="6" t="inlineStr"/>
    </row>
    <row r="58" hidden="1" ht="18" customHeight="1" s="27">
      <c r="A58" s="2" t="inlineStr">
        <is>
          <t>dairy</t>
        </is>
      </c>
      <c r="B58" s="21" t="inlineStr">
        <is>
          <t>Intensive</t>
        </is>
      </c>
      <c r="C58" s="22" t="inlineStr">
        <is>
          <t>DINT_heif</t>
        </is>
      </c>
      <c r="D58" s="4" t="inlineStr">
        <is>
          <t>pct_calving</t>
        </is>
      </c>
      <c r="E58" s="4" t="inlineStr">
        <is>
          <t>Fraction of females that give birth (calve) in a year (0 to 1) - IPCC 2019 Refinement Vol.4 Ch.10 §10.5. NOT the same as 'snapshot % lactating'; this is the annual calving rate, which weights NEl, NEp and N excretion across the sub-category.</t>
        </is>
      </c>
      <c r="F58" s="4" t="inlineStr">
        <is>
          <t>fraction (0-1)</t>
        </is>
      </c>
      <c r="G58" s="2" t="n">
        <v>0.362</v>
      </c>
      <c r="H58" s="2" t="n">
        <v>5</v>
      </c>
      <c r="I58" s="6" t="n"/>
      <c r="J58" s="6" t="n"/>
      <c r="K58" s="3" t="inlineStr">
        <is>
          <t>beta</t>
        </is>
      </c>
      <c r="L58" s="5">
        <f>IF(I58&lt;&gt;"",I58,IF(AND(G58&lt;&gt;"",H58&lt;&gt;""),G58*(1-H58/100),""))</f>
        <v/>
      </c>
      <c r="M58" s="5">
        <f>IF(J58&lt;&gt;"",J58,IF(AND(G58&lt;&gt;"",H58&lt;&gt;""),G58*(1+H58/100),""))</f>
        <v/>
      </c>
      <c r="N58" s="4" t="inlineStr">
        <is>
          <t>coefficient</t>
        </is>
      </c>
      <c r="O58" s="4" t="inlineStr"/>
      <c r="P58" s="6" t="inlineStr"/>
    </row>
    <row r="59" hidden="1" ht="18" customHeight="1" s="27">
      <c r="A59" s="2" t="inlineStr">
        <is>
          <t>dairy</t>
        </is>
      </c>
      <c r="B59" s="21" t="inlineStr">
        <is>
          <t>Intensive</t>
        </is>
      </c>
      <c r="C59" s="22" t="inlineStr">
        <is>
          <t>DINT_heif</t>
        </is>
      </c>
      <c r="D59" s="4" t="inlineStr">
        <is>
          <t>DE</t>
        </is>
      </c>
      <c r="E59" s="4" t="inlineStr">
        <is>
          <t>Digestible energy as a percentage of gross energy — typical range 45-75%</t>
        </is>
      </c>
      <c r="F59" s="4" t="inlineStr">
        <is>
          <t>%</t>
        </is>
      </c>
      <c r="G59" s="2" t="n">
        <v>66.26000000000001</v>
      </c>
      <c r="H59" s="2" t="n"/>
      <c r="I59" s="6" t="n">
        <v>55.26</v>
      </c>
      <c r="J59" s="6" t="n">
        <v>71.48999999999999</v>
      </c>
      <c r="K59" s="3" t="inlineStr">
        <is>
          <t>pert</t>
        </is>
      </c>
      <c r="L59" s="5">
        <f>IF(I59&lt;&gt;"",I59,IF(AND(G59&lt;&gt;"",H59&lt;&gt;""),G59*(1-H59/100),""))</f>
        <v/>
      </c>
      <c r="M59" s="5">
        <f>IF(J59&lt;&gt;"",J59,IF(AND(G59&lt;&gt;"",H59&lt;&gt;""),G59*(1+H59/100),""))</f>
        <v/>
      </c>
      <c r="N59" s="4" t="inlineStr">
        <is>
          <t>coefficient</t>
        </is>
      </c>
      <c r="O59" s="4" t="inlineStr">
        <is>
          <t>Table 10.2</t>
        </is>
      </c>
      <c r="P59" s="6" t="inlineStr"/>
    </row>
    <row r="60" hidden="1" ht="18" customHeight="1" s="27">
      <c r="A60" s="2" t="inlineStr">
        <is>
          <t>dairy</t>
        </is>
      </c>
      <c r="B60" s="21" t="inlineStr">
        <is>
          <t>Intensive</t>
        </is>
      </c>
      <c r="C60" s="22" t="inlineStr">
        <is>
          <t>DINT_heif</t>
        </is>
      </c>
      <c r="D60" s="4" t="inlineStr">
        <is>
          <t>Cfi</t>
        </is>
      </c>
      <c r="E60" s="4" t="inlineStr">
        <is>
          <t>Maintenance energy coefficient — depends on sex and lactation status (IPCC Table 10.4)</t>
        </is>
      </c>
      <c r="F60" s="4" t="inlineStr">
        <is>
          <t>MJ/day/kg^0.75</t>
        </is>
      </c>
      <c r="G60" s="11" t="n">
        <v>0.322</v>
      </c>
      <c r="H60" s="11" t="n">
        <v>15</v>
      </c>
      <c r="I60" s="6" t="n"/>
      <c r="J60" s="6" t="n"/>
      <c r="K60" s="3" t="inlineStr">
        <is>
          <t>beta</t>
        </is>
      </c>
      <c r="L60" s="5">
        <f>IF(I60&lt;&gt;"",I60,IF(AND(G60&lt;&gt;"",H60&lt;&gt;""),G60*(1-H60/100),""))</f>
        <v/>
      </c>
      <c r="M60" s="5">
        <f>IF(J60&lt;&gt;"",J60,IF(AND(G60&lt;&gt;"",H60&lt;&gt;""),G60*(1+H60/100),""))</f>
        <v/>
      </c>
      <c r="N60" s="4" t="inlineStr">
        <is>
          <t>coefficient</t>
        </is>
      </c>
      <c r="O60" s="4" t="inlineStr">
        <is>
          <t>Table 10.4</t>
        </is>
      </c>
      <c r="P60" s="6" t="inlineStr"/>
    </row>
    <row r="61" hidden="1" ht="18" customHeight="1" s="27">
      <c r="A61" s="2" t="inlineStr">
        <is>
          <t>dairy</t>
        </is>
      </c>
      <c r="B61" s="21" t="inlineStr">
        <is>
          <t>Intensive</t>
        </is>
      </c>
      <c r="C61" s="22" t="inlineStr">
        <is>
          <t>DINT_heif</t>
        </is>
      </c>
      <c r="D61" s="4" t="inlineStr">
        <is>
          <t>Ca</t>
        </is>
      </c>
      <c r="E61" s="4" t="inlineStr">
        <is>
          <t>Activity coefficient for locomotion energy — depends on feeding situation (IPCC Table 10.5)</t>
        </is>
      </c>
      <c r="F61" s="4" t="inlineStr">
        <is>
          <t>dimensionless</t>
        </is>
      </c>
      <c r="G61" s="11" t="n">
        <v>0.17</v>
      </c>
      <c r="H61" s="11" t="n">
        <v>15</v>
      </c>
      <c r="I61" s="6" t="n"/>
      <c r="J61" s="6" t="n"/>
      <c r="K61" s="3" t="inlineStr">
        <is>
          <t>triangular</t>
        </is>
      </c>
      <c r="L61" s="5">
        <f>IF(I61&lt;&gt;"",I61,IF(AND(G61&lt;&gt;"",H61&lt;&gt;""),G61*(1-H61/100),""))</f>
        <v/>
      </c>
      <c r="M61" s="5">
        <f>IF(J61&lt;&gt;"",J61,IF(AND(G61&lt;&gt;"",H61&lt;&gt;""),G61*(1+H61/100),""))</f>
        <v/>
      </c>
      <c r="N61" s="4" t="inlineStr">
        <is>
          <t>coefficient</t>
        </is>
      </c>
      <c r="O61" s="4" t="inlineStr">
        <is>
          <t>Table 10.5</t>
        </is>
      </c>
      <c r="P61" s="6" t="inlineStr"/>
    </row>
    <row r="62" hidden="1" ht="18" customHeight="1" s="27">
      <c r="A62" s="2" t="inlineStr">
        <is>
          <t>dairy</t>
        </is>
      </c>
      <c r="B62" s="21" t="inlineStr">
        <is>
          <t>Intensive</t>
        </is>
      </c>
      <c r="C62" s="22" t="inlineStr">
        <is>
          <t>DINT_heif</t>
        </is>
      </c>
      <c r="D62" s="4" t="inlineStr">
        <is>
          <t>C</t>
        </is>
      </c>
      <c r="E62" s="4" t="inlineStr">
        <is>
          <t>Growth coefficient for the NEg equation — depends on sex (IPCC Eq 10.6)</t>
        </is>
      </c>
      <c r="F62" s="4" t="inlineStr">
        <is>
          <t>dimensionless</t>
        </is>
      </c>
      <c r="G62" s="11" t="n">
        <v>0.8</v>
      </c>
      <c r="H62" s="11" t="n">
        <v>15</v>
      </c>
      <c r="I62" s="6" t="n"/>
      <c r="J62" s="6" t="n"/>
      <c r="K62" s="3" t="inlineStr">
        <is>
          <t>posnorm</t>
        </is>
      </c>
      <c r="L62" s="5">
        <f>IF(I62&lt;&gt;"",I62,IF(AND(G62&lt;&gt;"",H62&lt;&gt;""),G62*(1-H62/100),""))</f>
        <v/>
      </c>
      <c r="M62" s="5">
        <f>IF(J62&lt;&gt;"",J62,IF(AND(G62&lt;&gt;"",H62&lt;&gt;""),G62*(1+H62/100),""))</f>
        <v/>
      </c>
      <c r="N62" s="4" t="inlineStr">
        <is>
          <t>coefficient</t>
        </is>
      </c>
      <c r="O62" s="4" t="inlineStr">
        <is>
          <t>Eq 10.6</t>
        </is>
      </c>
      <c r="P62" s="6" t="inlineStr"/>
    </row>
    <row r="63" hidden="1" ht="18" customHeight="1" s="27">
      <c r="A63" s="2" t="inlineStr">
        <is>
          <t>dairy</t>
        </is>
      </c>
      <c r="B63" s="21" t="inlineStr">
        <is>
          <t>Intensive</t>
        </is>
      </c>
      <c r="C63" s="22" t="inlineStr">
        <is>
          <t>DINT_heif</t>
        </is>
      </c>
      <c r="D63" s="4" t="inlineStr">
        <is>
          <t>Cp</t>
        </is>
      </c>
      <c r="E63" s="4" t="inlineStr">
        <is>
          <t>Pregnancy coefficient — 0.10 for pregnant animals (IPCC Table 10.7)</t>
        </is>
      </c>
      <c r="F63" s="4" t="inlineStr">
        <is>
          <t>dimensionless</t>
        </is>
      </c>
      <c r="G63" s="11" t="n">
        <v>0.1</v>
      </c>
      <c r="H63" s="11" t="n">
        <v>15</v>
      </c>
      <c r="I63" s="6" t="n"/>
      <c r="J63" s="6" t="n"/>
      <c r="K63" s="3" t="inlineStr">
        <is>
          <t>beta</t>
        </is>
      </c>
      <c r="L63" s="5">
        <f>IF(I63&lt;&gt;"",I63,IF(AND(G63&lt;&gt;"",H63&lt;&gt;""),G63*(1-H63/100),""))</f>
        <v/>
      </c>
      <c r="M63" s="5">
        <f>IF(J63&lt;&gt;"",J63,IF(AND(G63&lt;&gt;"",H63&lt;&gt;""),G63*(1+H63/100),""))</f>
        <v/>
      </c>
      <c r="N63" s="4" t="inlineStr">
        <is>
          <t>coefficient</t>
        </is>
      </c>
      <c r="O63" s="4" t="inlineStr">
        <is>
          <t>Table 10.7</t>
        </is>
      </c>
      <c r="P63" s="6" t="inlineStr"/>
    </row>
    <row r="64" hidden="1" ht="18" customHeight="1" s="27">
      <c r="A64" s="2" t="inlineStr">
        <is>
          <t>dairy</t>
        </is>
      </c>
      <c r="B64" s="21" t="inlineStr">
        <is>
          <t>Intensive</t>
        </is>
      </c>
      <c r="C64" s="22" t="inlineStr">
        <is>
          <t>DINT_heif</t>
        </is>
      </c>
      <c r="D64" s="4" t="inlineStr">
        <is>
          <t>hours</t>
        </is>
      </c>
      <c r="E64" s="4" t="inlineStr">
        <is>
          <t>Daily working hours (IPCC Vol.4 Ch.10 Eq. 10.11) - set 0 when animals do no work (typical for dairy/beef cattle inventories).</t>
        </is>
      </c>
      <c r="F64" s="4" t="inlineStr">
        <is>
          <t>hours/day</t>
        </is>
      </c>
      <c r="G64" s="2" t="n">
        <v>0</v>
      </c>
      <c r="H64" s="2" t="n">
        <v>0</v>
      </c>
      <c r="I64" s="6" t="n"/>
      <c r="J64" s="6" t="n"/>
      <c r="K64" s="3" t="inlineStr">
        <is>
          <t>pert</t>
        </is>
      </c>
      <c r="L64" s="5">
        <f>IF(I64&lt;&gt;"",I64,IF(AND(G64&lt;&gt;"",H64&lt;&gt;""),G64*(1-H64/100),""))</f>
        <v/>
      </c>
      <c r="M64" s="5">
        <f>IF(J64&lt;&gt;"",J64,IF(AND(G64&lt;&gt;"",H64&lt;&gt;""),G64*(1+H64/100),""))</f>
        <v/>
      </c>
      <c r="N64" s="4" t="inlineStr">
        <is>
          <t>coefficient</t>
        </is>
      </c>
      <c r="O64" s="4" t="inlineStr">
        <is>
          <t>Eq 10.11</t>
        </is>
      </c>
      <c r="P64" s="6" t="inlineStr"/>
    </row>
    <row r="65" hidden="1" ht="18" customHeight="1" s="27">
      <c r="A65" s="2" t="inlineStr">
        <is>
          <t>dairy</t>
        </is>
      </c>
      <c r="B65" s="21" t="inlineStr">
        <is>
          <t>Intensive</t>
        </is>
      </c>
      <c r="C65" s="22" t="inlineStr">
        <is>
          <t>DINT_heif</t>
        </is>
      </c>
      <c r="D65" s="4" t="inlineStr">
        <is>
          <t>CP</t>
        </is>
      </c>
      <c r="E65" s="4" t="inlineStr">
        <is>
          <t>Crude protein content of the diet — used to estimate nitrogen excretion</t>
        </is>
      </c>
      <c r="F65" s="4" t="inlineStr">
        <is>
          <t>%</t>
        </is>
      </c>
      <c r="G65" s="2" t="n">
        <v>10.78</v>
      </c>
      <c r="H65" s="2" t="n"/>
      <c r="I65" s="6" t="n">
        <v>10.574</v>
      </c>
      <c r="J65" s="6" t="n">
        <v>13.595</v>
      </c>
      <c r="K65" s="3" t="inlineStr">
        <is>
          <t>pert</t>
        </is>
      </c>
      <c r="L65" s="5">
        <f>IF(I65&lt;&gt;"",I65,IF(AND(G65&lt;&gt;"",H65&lt;&gt;""),G65*(1-H65/100),""))</f>
        <v/>
      </c>
      <c r="M65" s="5">
        <f>IF(J65&lt;&gt;"",J65,IF(AND(G65&lt;&gt;"",H65&lt;&gt;""),G65*(1+H65/100),""))</f>
        <v/>
      </c>
      <c r="N65" s="4" t="inlineStr">
        <is>
          <t>coefficient</t>
        </is>
      </c>
      <c r="O65" s="4" t="inlineStr"/>
      <c r="P65" s="6" t="inlineStr"/>
    </row>
    <row r="66" hidden="1" ht="18" customHeight="1" s="27">
      <c r="A66" s="2" t="inlineStr">
        <is>
          <t>dairy</t>
        </is>
      </c>
      <c r="B66" s="21" t="inlineStr">
        <is>
          <t>Intensive</t>
        </is>
      </c>
      <c r="C66" s="22" t="inlineStr">
        <is>
          <t>DINT_heif</t>
        </is>
      </c>
      <c r="D66" s="4" t="inlineStr">
        <is>
          <t>Ym</t>
        </is>
      </c>
      <c r="E66" s="4" t="inlineStr">
        <is>
          <t>Methane conversion factor: % of gross energy converted to enteric CH4 (IPCC Table 10.12)</t>
        </is>
      </c>
      <c r="F66" s="4" t="inlineStr">
        <is>
          <t>%</t>
        </is>
      </c>
      <c r="G66" s="11" t="n">
        <v>6.3</v>
      </c>
      <c r="H66" s="11" t="n">
        <v>20</v>
      </c>
      <c r="I66" s="6" t="n"/>
      <c r="J66" s="6" t="n"/>
      <c r="K66" s="3" t="inlineStr">
        <is>
          <t>posnorm</t>
        </is>
      </c>
      <c r="L66" s="5">
        <f>IF(I66&lt;&gt;"",I66,IF(AND(G66&lt;&gt;"",H66&lt;&gt;""),G66*(1-H66/100),""))</f>
        <v/>
      </c>
      <c r="M66" s="5">
        <f>IF(J66&lt;&gt;"",J66,IF(AND(G66&lt;&gt;"",H66&lt;&gt;""),G66*(1+H66/100),""))</f>
        <v/>
      </c>
      <c r="N66" s="4" t="inlineStr">
        <is>
          <t>coefficient</t>
        </is>
      </c>
      <c r="O66" s="4" t="inlineStr">
        <is>
          <t>Table 10.12</t>
        </is>
      </c>
      <c r="P66" s="6" t="inlineStr"/>
    </row>
    <row r="67" hidden="1" ht="18" customHeight="1" s="27">
      <c r="A67" s="2" t="inlineStr">
        <is>
          <t>dairy</t>
        </is>
      </c>
      <c r="B67" s="21" t="inlineStr">
        <is>
          <t>Intensive</t>
        </is>
      </c>
      <c r="C67" s="22" t="inlineStr">
        <is>
          <t>DINT_heif</t>
        </is>
      </c>
      <c r="D67" s="4" t="inlineStr">
        <is>
          <t>Bo</t>
        </is>
      </c>
      <c r="E67" s="4" t="inlineStr">
        <is>
          <t>Maximum CH4 producing capacity of manure - IPCC 2019 Refinement Vol.4 Ch.10 Table 10.16(a) (Updated). Default for cattle in 'Other regions, low productivity' = 0.13 (matches 2019R Africa/Asia cattle low-productivity). Intensive dairy in NA/W.Europe = 0.24. 2006 Africa default = 0.10. Adjust to match your production system.</t>
        </is>
      </c>
      <c r="F67" s="4" t="inlineStr">
        <is>
          <t>m3 CH4/kg VS</t>
        </is>
      </c>
      <c r="G67" s="11" t="n">
        <v>0.13</v>
      </c>
      <c r="H67" s="11" t="n">
        <v>15</v>
      </c>
      <c r="I67" s="6" t="n"/>
      <c r="J67" s="6" t="n"/>
      <c r="K67" s="3" t="inlineStr">
        <is>
          <t>pert</t>
        </is>
      </c>
      <c r="L67" s="5">
        <f>IF(I67&lt;&gt;"",I67,IF(AND(G67&lt;&gt;"",H67&lt;&gt;""),G67*(1-H67/100),""))</f>
        <v/>
      </c>
      <c r="M67" s="5">
        <f>IF(J67&lt;&gt;"",J67,IF(AND(G67&lt;&gt;"",H67&lt;&gt;""),G67*(1+H67/100),""))</f>
        <v/>
      </c>
      <c r="N67" s="4" t="inlineStr">
        <is>
          <t>coefficient</t>
        </is>
      </c>
      <c r="O67" s="4" t="inlineStr">
        <is>
          <t>Table 10.16</t>
        </is>
      </c>
      <c r="P67" s="6" t="inlineStr"/>
    </row>
    <row r="68" hidden="1" ht="18" customHeight="1" s="27">
      <c r="A68" s="2" t="inlineStr">
        <is>
          <t>dairy</t>
        </is>
      </c>
      <c r="B68" s="21" t="inlineStr">
        <is>
          <t>Intensive</t>
        </is>
      </c>
      <c r="C68" s="22" t="inlineStr">
        <is>
          <t>DINT_heif</t>
        </is>
      </c>
      <c r="D68" s="4" t="inlineStr">
        <is>
          <t>ASH</t>
        </is>
      </c>
      <c r="E68" s="4" t="inlineStr">
        <is>
          <t>Ash content of manure — IPCC default 0.08 (Eq 10.24 footnote)</t>
        </is>
      </c>
      <c r="F68" s="4" t="inlineStr">
        <is>
          <t>fraction</t>
        </is>
      </c>
      <c r="G68" s="11" t="n">
        <v>0.08</v>
      </c>
      <c r="H68" s="11" t="n">
        <v>10</v>
      </c>
      <c r="I68" s="6" t="n"/>
      <c r="J68" s="6" t="n"/>
      <c r="K68" s="3" t="inlineStr">
        <is>
          <t>tnorm_0_1</t>
        </is>
      </c>
      <c r="L68" s="5">
        <f>IF(I68&lt;&gt;"",I68,IF(AND(G68&lt;&gt;"",H68&lt;&gt;""),G68*(1-H68/100),""))</f>
        <v/>
      </c>
      <c r="M68" s="5">
        <f>IF(J68&lt;&gt;"",J68,IF(AND(G68&lt;&gt;"",H68&lt;&gt;""),G68*(1+H68/100),""))</f>
        <v/>
      </c>
      <c r="N68" s="4" t="inlineStr">
        <is>
          <t>coefficient</t>
        </is>
      </c>
      <c r="O68" s="4" t="inlineStr">
        <is>
          <t>Eq 10.24</t>
        </is>
      </c>
      <c r="P68" s="6" t="inlineStr"/>
    </row>
    <row r="69" hidden="1" ht="18" customHeight="1" s="27">
      <c r="A69" s="2" t="inlineStr">
        <is>
          <t>dairy</t>
        </is>
      </c>
      <c r="B69" s="21" t="inlineStr">
        <is>
          <t>Intensive</t>
        </is>
      </c>
      <c r="C69" s="22" t="inlineStr">
        <is>
          <t>DINT_heif</t>
        </is>
      </c>
      <c r="D69" s="4" t="inlineStr">
        <is>
          <t>UE</t>
        </is>
      </c>
      <c r="E69" s="4" t="inlineStr">
        <is>
          <t>Urinary energy as fraction of gross energy — IPCC default 0.04 (Eq 10.24 footnote)</t>
        </is>
      </c>
      <c r="F69" s="4" t="inlineStr">
        <is>
          <t>fraction</t>
        </is>
      </c>
      <c r="G69" s="11" t="n">
        <v>0.04</v>
      </c>
      <c r="H69" s="11" t="n">
        <v>0</v>
      </c>
      <c r="I69" s="6" t="n"/>
      <c r="J69" s="6" t="n"/>
      <c r="K69" s="3" t="inlineStr">
        <is>
          <t>pert</t>
        </is>
      </c>
      <c r="L69" s="5">
        <f>IF(I69&lt;&gt;"",I69,IF(AND(G69&lt;&gt;"",H69&lt;&gt;""),G69*(1-H69/100),""))</f>
        <v/>
      </c>
      <c r="M69" s="5">
        <f>IF(J69&lt;&gt;"",J69,IF(AND(G69&lt;&gt;"",H69&lt;&gt;""),G69*(1+H69/100),""))</f>
        <v/>
      </c>
      <c r="N69" s="4" t="inlineStr">
        <is>
          <t>coefficient</t>
        </is>
      </c>
      <c r="O69" s="4" t="inlineStr">
        <is>
          <t>Eq 10.24</t>
        </is>
      </c>
      <c r="P69" s="6" t="inlineStr"/>
    </row>
    <row r="70" hidden="1" ht="18" customHeight="1" s="27">
      <c r="A70" s="2" t="inlineStr">
        <is>
          <t>dairy</t>
        </is>
      </c>
      <c r="B70" s="21" t="inlineStr">
        <is>
          <t>Intensive</t>
        </is>
      </c>
      <c r="C70" s="22" t="inlineStr">
        <is>
          <t>DINT_heif</t>
        </is>
      </c>
      <c r="D70" s="4" t="inlineStr">
        <is>
          <t>EF3_PRP</t>
        </is>
      </c>
      <c r="E70" s="4" t="inlineStr">
        <is>
          <t>Direct N2O EF for dung/urine on pasture/range/paddock - IPCC Vol.4 Ch.11 Table 11.1. 2006 cattle/poultry/pigs = 0.02. 2019R EF3_PRP,CPP for cattle/poultry/pigs: aggregated = 0.004 (range 0.000-0.014); wet climate = 0.006 (0.000-0.027); dry climate = 0.002 (0.000-0.007).</t>
        </is>
      </c>
      <c r="F70" s="4" t="inlineStr">
        <is>
          <t>kg N2O-N/kg N</t>
        </is>
      </c>
      <c r="G70" s="11" t="n">
        <v>0.004</v>
      </c>
      <c r="H70" s="11" t="n"/>
      <c r="I70" s="6" t="n">
        <v>0</v>
      </c>
      <c r="J70" s="6" t="n">
        <v>0.014</v>
      </c>
      <c r="K70" s="3" t="inlineStr">
        <is>
          <t>pert</t>
        </is>
      </c>
      <c r="L70" s="5">
        <f>IF(I70&lt;&gt;"",I70,IF(AND(G70&lt;&gt;"",H70&lt;&gt;""),G70*(1-H70/100),""))</f>
        <v/>
      </c>
      <c r="M70" s="5">
        <f>IF(J70&lt;&gt;"",J70,IF(AND(G70&lt;&gt;"",H70&lt;&gt;""),G70*(1+H70/100),""))</f>
        <v/>
      </c>
      <c r="N70" s="4" t="inlineStr">
        <is>
          <t>coefficient</t>
        </is>
      </c>
      <c r="O70" s="4" t="inlineStr">
        <is>
          <t>Table 11.1</t>
        </is>
      </c>
      <c r="P70" s="6" t="inlineStr"/>
    </row>
    <row r="71" hidden="1" ht="18" customHeight="1" s="27">
      <c r="A71" s="2" t="inlineStr">
        <is>
          <t>dairy</t>
        </is>
      </c>
      <c r="B71" s="21" t="inlineStr">
        <is>
          <t>Intensive</t>
        </is>
      </c>
      <c r="C71" s="22" t="inlineStr">
        <is>
          <t>DINT_heif</t>
        </is>
      </c>
      <c r="D71" s="4" t="inlineStr">
        <is>
          <t>Frac_GASMS</t>
        </is>
      </c>
      <c r="E71" s="4" t="inlineStr">
        <is>
          <t>Fraction of managed manure N volatilised as NH3/NOx - per IPCC 2019 Refinement Vol.4 Ch.10 Table 10.22 (per manure management system). On the soil side this same fraction is FracGASM in Ch.11 Table 11.3: 2019R = 0.21 (range 0.00-0.31); 2006 = 0.20.</t>
        </is>
      </c>
      <c r="F71" s="4" t="inlineStr">
        <is>
          <t>fraction</t>
        </is>
      </c>
      <c r="G71" s="11" t="n">
        <v>0.21</v>
      </c>
      <c r="H71" s="11" t="n">
        <v>40</v>
      </c>
      <c r="I71" s="6" t="n">
        <v>0</v>
      </c>
      <c r="J71" s="6" t="n">
        <v>0.31</v>
      </c>
      <c r="K71" s="3" t="inlineStr">
        <is>
          <t>pert</t>
        </is>
      </c>
      <c r="L71" s="5">
        <f>IF(I71&lt;&gt;"",I71,IF(AND(G71&lt;&gt;"",H71&lt;&gt;""),G71*(1-H71/100),""))</f>
        <v/>
      </c>
      <c r="M71" s="5">
        <f>IF(J71&lt;&gt;"",J71,IF(AND(G71&lt;&gt;"",H71&lt;&gt;""),G71*(1+H71/100),""))</f>
        <v/>
      </c>
      <c r="N71" s="4" t="inlineStr">
        <is>
          <t>coefficient</t>
        </is>
      </c>
      <c r="O71" s="4" t="inlineStr">
        <is>
          <t>Table 10.22</t>
        </is>
      </c>
      <c r="P71" s="6" t="inlineStr"/>
    </row>
    <row r="72" hidden="1" ht="18" customHeight="1" s="27">
      <c r="A72" s="2" t="inlineStr">
        <is>
          <t>dairy</t>
        </is>
      </c>
      <c r="B72" s="21" t="inlineStr">
        <is>
          <t>Intensive</t>
        </is>
      </c>
      <c r="C72" s="22" t="inlineStr">
        <is>
          <t>DINT_heif</t>
        </is>
      </c>
      <c r="D72" s="4" t="inlineStr">
        <is>
          <t>EF4</t>
        </is>
      </c>
      <c r="E72" s="4" t="inlineStr">
        <is>
          <t>N2O EF for atmospheric N deposition - IPCC Vol.4 Ch.11 Table 11.3. 2006 = 0.010. 2019 Refinement: aggregated default = 0.010 (range 0.002-0.018); wet climate = 0.014 (0.011-0.017); dry climate = 0.005 (0.000-0.011). Use 0.014 only when classifying as wet climate.</t>
        </is>
      </c>
      <c r="F72" s="4" t="inlineStr">
        <is>
          <t>kg N2O-N/kg N</t>
        </is>
      </c>
      <c r="G72" s="11" t="n">
        <v>0.01</v>
      </c>
      <c r="H72" s="11" t="n"/>
      <c r="I72" s="6" t="n">
        <v>0.002</v>
      </c>
      <c r="J72" s="6" t="n">
        <v>0.018</v>
      </c>
      <c r="K72" s="3" t="inlineStr">
        <is>
          <t>pert</t>
        </is>
      </c>
      <c r="L72" s="5">
        <f>IF(I72&lt;&gt;"",I72,IF(AND(G72&lt;&gt;"",H72&lt;&gt;""),G72*(1-H72/100),""))</f>
        <v/>
      </c>
      <c r="M72" s="5">
        <f>IF(J72&lt;&gt;"",J72,IF(AND(G72&lt;&gt;"",H72&lt;&gt;""),G72*(1+H72/100),""))</f>
        <v/>
      </c>
      <c r="N72" s="4" t="inlineStr">
        <is>
          <t>coefficient</t>
        </is>
      </c>
      <c r="O72" s="4" t="inlineStr">
        <is>
          <t>Table 11.3</t>
        </is>
      </c>
      <c r="P72" s="6" t="inlineStr"/>
    </row>
    <row r="73" hidden="1" ht="18" customHeight="1" s="27">
      <c r="A73" s="2" t="inlineStr">
        <is>
          <t>dairy</t>
        </is>
      </c>
      <c r="B73" s="21" t="inlineStr">
        <is>
          <t>Intensive</t>
        </is>
      </c>
      <c r="C73" s="22" t="inlineStr">
        <is>
          <t>DINT_heif</t>
        </is>
      </c>
      <c r="D73" s="4" t="inlineStr">
        <is>
          <t>EF5</t>
        </is>
      </c>
      <c r="E73" s="4" t="inlineStr">
        <is>
          <t>N2O EF for N leaching/runoff - IPCC Vol.4 Ch.11 Table 11.3. 2006 default = 0.0075; 2019 Refinement updated to 0.011 kg N2O-N/kg N leached/runoff (range 0.000-0.020). No climate disaggregation.</t>
        </is>
      </c>
      <c r="F73" s="4" t="inlineStr">
        <is>
          <t>kg N2O-N/kg N</t>
        </is>
      </c>
      <c r="G73" s="11" t="n">
        <v>0.011</v>
      </c>
      <c r="H73" s="11" t="n"/>
      <c r="I73" s="6" t="n">
        <v>0</v>
      </c>
      <c r="J73" s="6" t="n">
        <v>0.02</v>
      </c>
      <c r="K73" s="3" t="inlineStr">
        <is>
          <t>pert</t>
        </is>
      </c>
      <c r="L73" s="5">
        <f>IF(I73&lt;&gt;"",I73,IF(AND(G73&lt;&gt;"",H73&lt;&gt;""),G73*(1-H73/100),""))</f>
        <v/>
      </c>
      <c r="M73" s="5">
        <f>IF(J73&lt;&gt;"",J73,IF(AND(G73&lt;&gt;"",H73&lt;&gt;""),G73*(1+H73/100),""))</f>
        <v/>
      </c>
      <c r="N73" s="4" t="inlineStr">
        <is>
          <t>coefficient</t>
        </is>
      </c>
      <c r="O73" s="4" t="inlineStr">
        <is>
          <t>Table 11.3</t>
        </is>
      </c>
      <c r="P73" s="6" t="inlineStr"/>
    </row>
    <row r="74" hidden="1" ht="18" customHeight="1" s="27">
      <c r="A74" s="2" t="inlineStr">
        <is>
          <t>dairy</t>
        </is>
      </c>
      <c r="B74" s="21" t="inlineStr">
        <is>
          <t>Intensive</t>
        </is>
      </c>
      <c r="C74" s="22" t="inlineStr">
        <is>
          <t>DINT_heif</t>
        </is>
      </c>
      <c r="D74" s="4" t="inlineStr">
        <is>
          <t>Frac_LEACH_H</t>
        </is>
      </c>
      <c r="E74" s="4" t="inlineStr">
        <is>
          <t>Fraction of managed N lost through leaching (managed-storage side) - IPCC 2019 Refinement Vol.4 Ch.10 Table 10.23. Distinct from the pasture-side Frac_LEACH_PRP (FracLEACH-(H) in Ch.11 Table 11.3).</t>
        </is>
      </c>
      <c r="F74" s="4" t="inlineStr">
        <is>
          <t>fraction</t>
        </is>
      </c>
      <c r="G74" s="11" t="n">
        <v>0.02</v>
      </c>
      <c r="H74" s="11" t="n"/>
      <c r="I74" s="6" t="n">
        <v>0.006</v>
      </c>
      <c r="J74" s="6" t="n">
        <v>0.054</v>
      </c>
      <c r="K74" s="3" t="inlineStr">
        <is>
          <t>lognormal</t>
        </is>
      </c>
      <c r="L74" s="5">
        <f>IF(I74&lt;&gt;"",I74,IF(AND(G74&lt;&gt;"",H74&lt;&gt;""),G74*(1-H74/100),""))</f>
        <v/>
      </c>
      <c r="M74" s="5">
        <f>IF(J74&lt;&gt;"",J74,IF(AND(G74&lt;&gt;"",H74&lt;&gt;""),G74*(1+H74/100),""))</f>
        <v/>
      </c>
      <c r="N74" s="4" t="inlineStr">
        <is>
          <t>coefficient</t>
        </is>
      </c>
      <c r="O74" s="4" t="inlineStr">
        <is>
          <t>Table 11.3</t>
        </is>
      </c>
      <c r="P74" s="6" t="inlineStr"/>
    </row>
    <row r="75" hidden="1" ht="18" customHeight="1" s="27">
      <c r="A75" s="2" t="inlineStr">
        <is>
          <t>dairy</t>
        </is>
      </c>
      <c r="B75" s="21" t="inlineStr">
        <is>
          <t>Intensive</t>
        </is>
      </c>
      <c r="C75" s="22" t="inlineStr">
        <is>
          <t>DINT_heif</t>
        </is>
      </c>
      <c r="D75" s="4" t="inlineStr">
        <is>
          <t>MilkPR</t>
        </is>
      </c>
      <c r="E75" s="4" t="inlineStr">
        <is>
          <t>Protein content of milk (%) - feeds the milk-N term in IPCC Vol.4 Ch.10 Eq 10.33 (N retention for cattle, where the 6.38 milk-protein-to-N conversion factor is defined).</t>
        </is>
      </c>
      <c r="F75" s="4" t="inlineStr">
        <is>
          <t>%</t>
        </is>
      </c>
      <c r="G75" s="2" t="n">
        <v>3.42</v>
      </c>
      <c r="H75" s="2" t="n">
        <v>10</v>
      </c>
      <c r="I75" s="6" t="n"/>
      <c r="J75" s="6" t="n"/>
      <c r="K75" s="3" t="inlineStr">
        <is>
          <t>normal</t>
        </is>
      </c>
      <c r="L75" s="5">
        <f>IF(I75&lt;&gt;"",I75,IF(AND(G75&lt;&gt;"",H75&lt;&gt;""),G75*(1-H75/100),""))</f>
        <v/>
      </c>
      <c r="M75" s="5">
        <f>IF(J75&lt;&gt;"",J75,IF(AND(G75&lt;&gt;"",H75&lt;&gt;""),G75*(1+H75/100),""))</f>
        <v/>
      </c>
      <c r="N75" s="4" t="inlineStr">
        <is>
          <t>coefficient</t>
        </is>
      </c>
      <c r="O75" s="4" t="inlineStr">
        <is>
          <t>Table 10A.2</t>
        </is>
      </c>
      <c r="P75" s="6" t="inlineStr"/>
    </row>
    <row r="76" hidden="1" ht="18" customHeight="1" s="27">
      <c r="A76" s="2" t="inlineStr">
        <is>
          <t>dairy</t>
        </is>
      </c>
      <c r="B76" s="21" t="inlineStr">
        <is>
          <t>Intensive</t>
        </is>
      </c>
      <c r="C76" s="22" t="inlineStr">
        <is>
          <t>DINT_GrM</t>
        </is>
      </c>
      <c r="D76" s="4" t="inlineStr">
        <is>
          <t>N</t>
        </is>
      </c>
      <c r="E76" s="4" t="inlineStr">
        <is>
          <t>Number of animals in this sub-category</t>
        </is>
      </c>
      <c r="F76" s="4" t="inlineStr">
        <is>
          <t>head</t>
        </is>
      </c>
      <c r="G76" s="2" t="n">
        <v>197</v>
      </c>
      <c r="H76" s="2" t="n">
        <v>2.1</v>
      </c>
      <c r="I76" s="6" t="n"/>
      <c r="J76" s="6" t="n"/>
      <c r="K76" s="3" t="inlineStr">
        <is>
          <t>normal</t>
        </is>
      </c>
      <c r="L76" s="5">
        <f>IF(I76&lt;&gt;"",I76,IF(AND(G76&lt;&gt;"",H76&lt;&gt;""),G76*(1-H76/100),""))</f>
        <v/>
      </c>
      <c r="M76" s="5">
        <f>IF(J76&lt;&gt;"",J76,IF(AND(G76&lt;&gt;"",H76&lt;&gt;""),G76*(1+H76/100),""))</f>
        <v/>
      </c>
      <c r="N76" s="4" t="inlineStr">
        <is>
          <t>activity_data</t>
        </is>
      </c>
      <c r="O76" s="4" t="inlineStr"/>
      <c r="P76" s="6" t="inlineStr"/>
    </row>
    <row r="77" hidden="1" ht="18" customHeight="1" s="27">
      <c r="A77" s="2" t="inlineStr">
        <is>
          <t>dairy</t>
        </is>
      </c>
      <c r="B77" s="21" t="inlineStr">
        <is>
          <t>Intensive</t>
        </is>
      </c>
      <c r="C77" s="22" t="inlineStr">
        <is>
          <t>DINT_GrM</t>
        </is>
      </c>
      <c r="D77" s="4" t="inlineStr">
        <is>
          <t>W</t>
        </is>
      </c>
      <c r="E77" s="4" t="inlineStr">
        <is>
          <t>Average live body weight of the animals</t>
        </is>
      </c>
      <c r="F77" s="4" t="inlineStr">
        <is>
          <t>kg</t>
        </is>
      </c>
      <c r="G77" s="2" t="n">
        <v>417.4</v>
      </c>
      <c r="H77" s="2" t="n">
        <v>8</v>
      </c>
      <c r="I77" s="6" t="n"/>
      <c r="J77" s="6" t="n"/>
      <c r="K77" s="3" t="inlineStr">
        <is>
          <t>normal</t>
        </is>
      </c>
      <c r="L77" s="5">
        <f>IF(I77&lt;&gt;"",I77,IF(AND(G77&lt;&gt;"",H77&lt;&gt;""),G77*(1-H77/100),""))</f>
        <v/>
      </c>
      <c r="M77" s="5">
        <f>IF(J77&lt;&gt;"",J77,IF(AND(G77&lt;&gt;"",H77&lt;&gt;""),G77*(1+H77/100),""))</f>
        <v/>
      </c>
      <c r="N77" s="4" t="inlineStr">
        <is>
          <t>coefficient</t>
        </is>
      </c>
      <c r="O77" s="4" t="inlineStr">
        <is>
          <t>Table 10A.2</t>
        </is>
      </c>
      <c r="P77" s="6" t="inlineStr"/>
    </row>
    <row r="78" hidden="1" ht="18" customHeight="1" s="27">
      <c r="A78" s="2" t="inlineStr">
        <is>
          <t>dairy</t>
        </is>
      </c>
      <c r="B78" s="21" t="inlineStr">
        <is>
          <t>Intensive</t>
        </is>
      </c>
      <c r="C78" s="22" t="inlineStr">
        <is>
          <t>DINT_GrM</t>
        </is>
      </c>
      <c r="D78" s="4" t="inlineStr">
        <is>
          <t>MW</t>
        </is>
      </c>
      <c r="E78" s="4" t="inlineStr">
        <is>
          <t>Mature (adult) body weight of the animals</t>
        </is>
      </c>
      <c r="F78" s="4" t="inlineStr">
        <is>
          <t>kg</t>
        </is>
      </c>
      <c r="G78" s="2" t="n">
        <v>650</v>
      </c>
      <c r="H78" s="2" t="n">
        <v>0</v>
      </c>
      <c r="I78" s="6" t="n"/>
      <c r="J78" s="6" t="n"/>
      <c r="K78" s="3" t="inlineStr">
        <is>
          <t>normal</t>
        </is>
      </c>
      <c r="L78" s="5">
        <f>IF(I78&lt;&gt;"",I78,IF(AND(G78&lt;&gt;"",H78&lt;&gt;""),G78*(1-H78/100),""))</f>
        <v/>
      </c>
      <c r="M78" s="5">
        <f>IF(J78&lt;&gt;"",J78,IF(AND(G78&lt;&gt;"",H78&lt;&gt;""),G78*(1+H78/100),""))</f>
        <v/>
      </c>
      <c r="N78" s="4" t="inlineStr">
        <is>
          <t>coefficient</t>
        </is>
      </c>
      <c r="O78" s="4" t="inlineStr">
        <is>
          <t>Table 10A.2</t>
        </is>
      </c>
      <c r="P78" s="6" t="inlineStr"/>
    </row>
    <row r="79" hidden="1" ht="18" customHeight="1" s="27">
      <c r="A79" s="2" t="inlineStr">
        <is>
          <t>dairy</t>
        </is>
      </c>
      <c r="B79" s="21" t="inlineStr">
        <is>
          <t>Intensive</t>
        </is>
      </c>
      <c r="C79" s="22" t="inlineStr">
        <is>
          <t>DINT_GrM</t>
        </is>
      </c>
      <c r="D79" s="4" t="inlineStr">
        <is>
          <t>WG</t>
        </is>
      </c>
      <c r="E79" s="4" t="inlineStr">
        <is>
          <t>Average daily weight gain — set 0 for non-growing (adult) animals</t>
        </is>
      </c>
      <c r="F79" s="4" t="inlineStr">
        <is>
          <t>kg/day</t>
        </is>
      </c>
      <c r="G79" s="2" t="n">
        <v>0.4</v>
      </c>
      <c r="H79" s="2" t="n"/>
      <c r="I79" s="6" t="n">
        <v>0.34</v>
      </c>
      <c r="J79" s="6" t="n">
        <v>0.8100000000000001</v>
      </c>
      <c r="K79" s="3" t="inlineStr">
        <is>
          <t>pert</t>
        </is>
      </c>
      <c r="L79" s="5">
        <f>IF(I79&lt;&gt;"",I79,IF(AND(G79&lt;&gt;"",H79&lt;&gt;""),G79*(1-H79/100),""))</f>
        <v/>
      </c>
      <c r="M79" s="5">
        <f>IF(J79&lt;&gt;"",J79,IF(AND(G79&lt;&gt;"",H79&lt;&gt;""),G79*(1+H79/100),""))</f>
        <v/>
      </c>
      <c r="N79" s="4" t="inlineStr">
        <is>
          <t>coefficient</t>
        </is>
      </c>
      <c r="O79" s="4" t="inlineStr">
        <is>
          <t>Table 10A.1</t>
        </is>
      </c>
      <c r="P79" s="6" t="inlineStr"/>
    </row>
    <row r="80" hidden="1" ht="18" customHeight="1" s="27">
      <c r="A80" s="2" t="inlineStr">
        <is>
          <t>dairy</t>
        </is>
      </c>
      <c r="B80" s="21" t="inlineStr">
        <is>
          <t>Intensive</t>
        </is>
      </c>
      <c r="C80" s="22" t="inlineStr">
        <is>
          <t>DINT_GrM</t>
        </is>
      </c>
      <c r="D80" s="4" t="inlineStr">
        <is>
          <t>Milk</t>
        </is>
      </c>
      <c r="E80" s="4" t="inlineStr">
        <is>
          <t>Daily milk yield per lactating cow — set 0 for non-dairy sub-categories</t>
        </is>
      </c>
      <c r="F80" s="4" t="inlineStr">
        <is>
          <t>kg/head/day</t>
        </is>
      </c>
      <c r="G80" s="2" t="n">
        <v>0</v>
      </c>
      <c r="H80" s="2" t="n">
        <v>0</v>
      </c>
      <c r="I80" s="6" t="n"/>
      <c r="J80" s="6" t="n"/>
      <c r="K80" s="3" t="inlineStr">
        <is>
          <t>normal</t>
        </is>
      </c>
      <c r="L80" s="5">
        <f>IF(I80&lt;&gt;"",I80,IF(AND(G80&lt;&gt;"",H80&lt;&gt;""),G80*(1-H80/100),""))</f>
        <v/>
      </c>
      <c r="M80" s="5">
        <f>IF(J80&lt;&gt;"",J80,IF(AND(G80&lt;&gt;"",H80&lt;&gt;""),G80*(1+H80/100),""))</f>
        <v/>
      </c>
      <c r="N80" s="4" t="inlineStr">
        <is>
          <t>coefficient</t>
        </is>
      </c>
      <c r="O80" s="4" t="inlineStr"/>
      <c r="P80" s="6" t="inlineStr"/>
    </row>
    <row r="81" hidden="1" ht="18" customHeight="1" s="27">
      <c r="A81" s="2" t="inlineStr">
        <is>
          <t>dairy</t>
        </is>
      </c>
      <c r="B81" s="21" t="inlineStr">
        <is>
          <t>Intensive</t>
        </is>
      </c>
      <c r="C81" s="22" t="inlineStr">
        <is>
          <t>DINT_GrM</t>
        </is>
      </c>
      <c r="D81" s="4" t="inlineStr">
        <is>
          <t>Fat</t>
        </is>
      </c>
      <c r="E81" s="4" t="inlineStr">
        <is>
          <t>Milk fat content of the diet</t>
        </is>
      </c>
      <c r="F81" s="4" t="inlineStr">
        <is>
          <t>%</t>
        </is>
      </c>
      <c r="G81" s="2" t="n">
        <v>0</v>
      </c>
      <c r="H81" s="2" t="n">
        <v>0</v>
      </c>
      <c r="I81" s="6" t="n"/>
      <c r="J81" s="6" t="n"/>
      <c r="K81" s="3" t="inlineStr">
        <is>
          <t>normal</t>
        </is>
      </c>
      <c r="L81" s="5">
        <f>IF(I81&lt;&gt;"",I81,IF(AND(G81&lt;&gt;"",H81&lt;&gt;""),G81*(1-H81/100),""))</f>
        <v/>
      </c>
      <c r="M81" s="5">
        <f>IF(J81&lt;&gt;"",J81,IF(AND(G81&lt;&gt;"",H81&lt;&gt;""),G81*(1+H81/100),""))</f>
        <v/>
      </c>
      <c r="N81" s="4" t="inlineStr">
        <is>
          <t>coefficient</t>
        </is>
      </c>
      <c r="O81" s="4" t="inlineStr"/>
      <c r="P81" s="6" t="inlineStr"/>
    </row>
    <row r="82" hidden="1" ht="18" customHeight="1" s="27">
      <c r="A82" s="2" t="inlineStr">
        <is>
          <t>dairy</t>
        </is>
      </c>
      <c r="B82" s="21" t="inlineStr">
        <is>
          <t>Intensive</t>
        </is>
      </c>
      <c r="C82" s="22" t="inlineStr">
        <is>
          <t>DINT_GrM</t>
        </is>
      </c>
      <c r="D82" s="4" t="inlineStr">
        <is>
          <t>pct_calving</t>
        </is>
      </c>
      <c r="E82" s="4" t="inlineStr">
        <is>
          <t>Fraction of females that give birth (calve) in a year (0 to 1) - IPCC 2019 Refinement Vol.4 Ch.10 §10.5. NOT the same as 'snapshot % lactating'; this is the annual calving rate, which weights NEl, NEp and N excretion across the sub-category.</t>
        </is>
      </c>
      <c r="F82" s="4" t="inlineStr">
        <is>
          <t>fraction (0-1)</t>
        </is>
      </c>
      <c r="G82" s="2" t="n">
        <v>0</v>
      </c>
      <c r="H82" s="2" t="n">
        <v>0</v>
      </c>
      <c r="I82" s="6" t="n"/>
      <c r="J82" s="6" t="n"/>
      <c r="K82" s="3" t="inlineStr">
        <is>
          <t>normal</t>
        </is>
      </c>
      <c r="L82" s="5">
        <f>IF(I82&lt;&gt;"",I82,IF(AND(G82&lt;&gt;"",H82&lt;&gt;""),G82*(1-H82/100),""))</f>
        <v/>
      </c>
      <c r="M82" s="5">
        <f>IF(J82&lt;&gt;"",J82,IF(AND(G82&lt;&gt;"",H82&lt;&gt;""),G82*(1+H82/100),""))</f>
        <v/>
      </c>
      <c r="N82" s="4" t="inlineStr">
        <is>
          <t>coefficient</t>
        </is>
      </c>
      <c r="O82" s="4" t="inlineStr"/>
      <c r="P82" s="6" t="inlineStr"/>
    </row>
    <row r="83" hidden="1" ht="18" customHeight="1" s="27">
      <c r="A83" s="2" t="inlineStr">
        <is>
          <t>dairy</t>
        </is>
      </c>
      <c r="B83" s="21" t="inlineStr">
        <is>
          <t>Intensive</t>
        </is>
      </c>
      <c r="C83" s="22" t="inlineStr">
        <is>
          <t>DINT_GrM</t>
        </is>
      </c>
      <c r="D83" s="4" t="inlineStr">
        <is>
          <t>DE</t>
        </is>
      </c>
      <c r="E83" s="4" t="inlineStr">
        <is>
          <t>Digestible energy as a percentage of gross energy — typical range 45-75%</t>
        </is>
      </c>
      <c r="F83" s="4" t="inlineStr">
        <is>
          <t>%</t>
        </is>
      </c>
      <c r="G83" s="2" t="n">
        <v>66.26000000000001</v>
      </c>
      <c r="H83" s="2" t="n"/>
      <c r="I83" s="6" t="n">
        <v>55.26</v>
      </c>
      <c r="J83" s="6" t="n">
        <v>71.48999999999999</v>
      </c>
      <c r="K83" s="3" t="inlineStr">
        <is>
          <t>pert</t>
        </is>
      </c>
      <c r="L83" s="5">
        <f>IF(I83&lt;&gt;"",I83,IF(AND(G83&lt;&gt;"",H83&lt;&gt;""),G83*(1-H83/100),""))</f>
        <v/>
      </c>
      <c r="M83" s="5">
        <f>IF(J83&lt;&gt;"",J83,IF(AND(G83&lt;&gt;"",H83&lt;&gt;""),G83*(1+H83/100),""))</f>
        <v/>
      </c>
      <c r="N83" s="4" t="inlineStr">
        <is>
          <t>coefficient</t>
        </is>
      </c>
      <c r="O83" s="4" t="inlineStr">
        <is>
          <t>Table 10.2</t>
        </is>
      </c>
      <c r="P83" s="6" t="inlineStr"/>
    </row>
    <row r="84" hidden="1" ht="18" customHeight="1" s="27">
      <c r="A84" s="2" t="inlineStr">
        <is>
          <t>dairy</t>
        </is>
      </c>
      <c r="B84" s="21" t="inlineStr">
        <is>
          <t>Intensive</t>
        </is>
      </c>
      <c r="C84" s="22" t="inlineStr">
        <is>
          <t>DINT_GrM</t>
        </is>
      </c>
      <c r="D84" s="4" t="inlineStr">
        <is>
          <t>Cfi</t>
        </is>
      </c>
      <c r="E84" s="4" t="inlineStr">
        <is>
          <t>Maintenance energy coefficient — depends on sex and lactation status (IPCC Table 10.4)</t>
        </is>
      </c>
      <c r="F84" s="4" t="inlineStr">
        <is>
          <t>MJ/day/kg^0.75</t>
        </is>
      </c>
      <c r="G84" s="11" t="n">
        <v>0.322</v>
      </c>
      <c r="H84" s="11" t="n">
        <v>15</v>
      </c>
      <c r="I84" s="6" t="n"/>
      <c r="J84" s="6" t="n"/>
      <c r="K84" s="3" t="inlineStr">
        <is>
          <t>beta</t>
        </is>
      </c>
      <c r="L84" s="5">
        <f>IF(I84&lt;&gt;"",I84,IF(AND(G84&lt;&gt;"",H84&lt;&gt;""),G84*(1-H84/100),""))</f>
        <v/>
      </c>
      <c r="M84" s="5">
        <f>IF(J84&lt;&gt;"",J84,IF(AND(G84&lt;&gt;"",H84&lt;&gt;""),G84*(1+H84/100),""))</f>
        <v/>
      </c>
      <c r="N84" s="4" t="inlineStr">
        <is>
          <t>coefficient</t>
        </is>
      </c>
      <c r="O84" s="4" t="inlineStr">
        <is>
          <t>Table 10.4</t>
        </is>
      </c>
      <c r="P84" s="6" t="inlineStr"/>
    </row>
    <row r="85" hidden="1" ht="18" customHeight="1" s="27">
      <c r="A85" s="2" t="inlineStr">
        <is>
          <t>dairy</t>
        </is>
      </c>
      <c r="B85" s="21" t="inlineStr">
        <is>
          <t>Intensive</t>
        </is>
      </c>
      <c r="C85" s="22" t="inlineStr">
        <is>
          <t>DINT_GrM</t>
        </is>
      </c>
      <c r="D85" s="4" t="inlineStr">
        <is>
          <t>Ca</t>
        </is>
      </c>
      <c r="E85" s="4" t="inlineStr">
        <is>
          <t>Activity coefficient for locomotion energy — depends on feeding situation (IPCC Table 10.5)</t>
        </is>
      </c>
      <c r="F85" s="4" t="inlineStr">
        <is>
          <t>dimensionless</t>
        </is>
      </c>
      <c r="G85" s="11" t="n">
        <v>0.17</v>
      </c>
      <c r="H85" s="11" t="n">
        <v>15</v>
      </c>
      <c r="I85" s="6" t="n"/>
      <c r="J85" s="6" t="n"/>
      <c r="K85" s="3" t="inlineStr">
        <is>
          <t>triangular</t>
        </is>
      </c>
      <c r="L85" s="5">
        <f>IF(I85&lt;&gt;"",I85,IF(AND(G85&lt;&gt;"",H85&lt;&gt;""),G85*(1-H85/100),""))</f>
        <v/>
      </c>
      <c r="M85" s="5">
        <f>IF(J85&lt;&gt;"",J85,IF(AND(G85&lt;&gt;"",H85&lt;&gt;""),G85*(1+H85/100),""))</f>
        <v/>
      </c>
      <c r="N85" s="4" t="inlineStr">
        <is>
          <t>coefficient</t>
        </is>
      </c>
      <c r="O85" s="4" t="inlineStr">
        <is>
          <t>Table 10.5</t>
        </is>
      </c>
      <c r="P85" s="6" t="inlineStr"/>
    </row>
    <row r="86" hidden="1" ht="18" customHeight="1" s="27">
      <c r="A86" s="2" t="inlineStr">
        <is>
          <t>dairy</t>
        </is>
      </c>
      <c r="B86" s="21" t="inlineStr">
        <is>
          <t>Intensive</t>
        </is>
      </c>
      <c r="C86" s="22" t="inlineStr">
        <is>
          <t>DINT_GrM</t>
        </is>
      </c>
      <c r="D86" s="4" t="inlineStr">
        <is>
          <t>C</t>
        </is>
      </c>
      <c r="E86" s="4" t="inlineStr">
        <is>
          <t>Growth coefficient for the NEg equation — depends on sex (IPCC Eq 10.6)</t>
        </is>
      </c>
      <c r="F86" s="4" t="inlineStr">
        <is>
          <t>dimensionless</t>
        </is>
      </c>
      <c r="G86" s="11" t="n">
        <v>1.2</v>
      </c>
      <c r="H86" s="11" t="n">
        <v>15</v>
      </c>
      <c r="I86" s="6" t="n"/>
      <c r="J86" s="6" t="n"/>
      <c r="K86" s="3" t="inlineStr">
        <is>
          <t>posnorm</t>
        </is>
      </c>
      <c r="L86" s="5">
        <f>IF(I86&lt;&gt;"",I86,IF(AND(G86&lt;&gt;"",H86&lt;&gt;""),G86*(1-H86/100),""))</f>
        <v/>
      </c>
      <c r="M86" s="5">
        <f>IF(J86&lt;&gt;"",J86,IF(AND(G86&lt;&gt;"",H86&lt;&gt;""),G86*(1+H86/100),""))</f>
        <v/>
      </c>
      <c r="N86" s="4" t="inlineStr">
        <is>
          <t>coefficient</t>
        </is>
      </c>
      <c r="O86" s="4" t="inlineStr">
        <is>
          <t>Eq 10.6</t>
        </is>
      </c>
      <c r="P86" s="6" t="inlineStr"/>
    </row>
    <row r="87" hidden="1" ht="18" customHeight="1" s="27">
      <c r="A87" s="2" t="inlineStr">
        <is>
          <t>dairy</t>
        </is>
      </c>
      <c r="B87" s="21" t="inlineStr">
        <is>
          <t>Intensive</t>
        </is>
      </c>
      <c r="C87" s="22" t="inlineStr">
        <is>
          <t>DINT_GrM</t>
        </is>
      </c>
      <c r="D87" s="4" t="inlineStr">
        <is>
          <t>Cp</t>
        </is>
      </c>
      <c r="E87" s="4" t="inlineStr">
        <is>
          <t>Pregnancy coefficient — 0.10 for pregnant animals (IPCC Table 10.7)</t>
        </is>
      </c>
      <c r="F87" s="4" t="inlineStr">
        <is>
          <t>dimensionless</t>
        </is>
      </c>
      <c r="G87" s="11" t="n">
        <v>0.1</v>
      </c>
      <c r="H87" s="11" t="n">
        <v>15</v>
      </c>
      <c r="I87" s="6" t="n"/>
      <c r="J87" s="6" t="n"/>
      <c r="K87" s="3" t="inlineStr">
        <is>
          <t>beta</t>
        </is>
      </c>
      <c r="L87" s="5">
        <f>IF(I87&lt;&gt;"",I87,IF(AND(G87&lt;&gt;"",H87&lt;&gt;""),G87*(1-H87/100),""))</f>
        <v/>
      </c>
      <c r="M87" s="5">
        <f>IF(J87&lt;&gt;"",J87,IF(AND(G87&lt;&gt;"",H87&lt;&gt;""),G87*(1+H87/100),""))</f>
        <v/>
      </c>
      <c r="N87" s="4" t="inlineStr">
        <is>
          <t>coefficient</t>
        </is>
      </c>
      <c r="O87" s="4" t="inlineStr">
        <is>
          <t>Table 10.7</t>
        </is>
      </c>
      <c r="P87" s="6" t="inlineStr"/>
    </row>
    <row r="88" hidden="1" ht="18" customHeight="1" s="27">
      <c r="A88" s="2" t="inlineStr">
        <is>
          <t>dairy</t>
        </is>
      </c>
      <c r="B88" s="21" t="inlineStr">
        <is>
          <t>Intensive</t>
        </is>
      </c>
      <c r="C88" s="22" t="inlineStr">
        <is>
          <t>DINT_GrM</t>
        </is>
      </c>
      <c r="D88" s="4" t="inlineStr">
        <is>
          <t>hours</t>
        </is>
      </c>
      <c r="E88" s="4" t="inlineStr">
        <is>
          <t>Daily working hours (IPCC Vol.4 Ch.10 Eq. 10.11) - set 0 when animals do no work (typical for dairy/beef cattle inventories).</t>
        </is>
      </c>
      <c r="F88" s="4" t="inlineStr">
        <is>
          <t>hours/day</t>
        </is>
      </c>
      <c r="G88" s="2" t="n">
        <v>0</v>
      </c>
      <c r="H88" s="2" t="n">
        <v>0</v>
      </c>
      <c r="I88" s="6" t="n"/>
      <c r="J88" s="6" t="n"/>
      <c r="K88" s="3" t="inlineStr">
        <is>
          <t>pert</t>
        </is>
      </c>
      <c r="L88" s="5">
        <f>IF(I88&lt;&gt;"",I88,IF(AND(G88&lt;&gt;"",H88&lt;&gt;""),G88*(1-H88/100),""))</f>
        <v/>
      </c>
      <c r="M88" s="5">
        <f>IF(J88&lt;&gt;"",J88,IF(AND(G88&lt;&gt;"",H88&lt;&gt;""),G88*(1+H88/100),""))</f>
        <v/>
      </c>
      <c r="N88" s="4" t="inlineStr">
        <is>
          <t>coefficient</t>
        </is>
      </c>
      <c r="O88" s="4" t="inlineStr">
        <is>
          <t>Eq 10.11</t>
        </is>
      </c>
      <c r="P88" s="6" t="inlineStr"/>
    </row>
    <row r="89" hidden="1" ht="18" customHeight="1" s="27">
      <c r="A89" s="2" t="inlineStr">
        <is>
          <t>dairy</t>
        </is>
      </c>
      <c r="B89" s="21" t="inlineStr">
        <is>
          <t>Intensive</t>
        </is>
      </c>
      <c r="C89" s="22" t="inlineStr">
        <is>
          <t>DINT_GrM</t>
        </is>
      </c>
      <c r="D89" s="4" t="inlineStr">
        <is>
          <t>CP</t>
        </is>
      </c>
      <c r="E89" s="4" t="inlineStr">
        <is>
          <t>Crude protein content of the diet — used to estimate nitrogen excretion</t>
        </is>
      </c>
      <c r="F89" s="4" t="inlineStr">
        <is>
          <t>%</t>
        </is>
      </c>
      <c r="G89" s="2" t="n">
        <v>10.78</v>
      </c>
      <c r="H89" s="2" t="n"/>
      <c r="I89" s="6" t="n">
        <v>10.574</v>
      </c>
      <c r="J89" s="6" t="n">
        <v>13.595</v>
      </c>
      <c r="K89" s="3" t="inlineStr">
        <is>
          <t>pert</t>
        </is>
      </c>
      <c r="L89" s="5">
        <f>IF(I89&lt;&gt;"",I89,IF(AND(G89&lt;&gt;"",H89&lt;&gt;""),G89*(1-H89/100),""))</f>
        <v/>
      </c>
      <c r="M89" s="5">
        <f>IF(J89&lt;&gt;"",J89,IF(AND(G89&lt;&gt;"",H89&lt;&gt;""),G89*(1+H89/100),""))</f>
        <v/>
      </c>
      <c r="N89" s="4" t="inlineStr">
        <is>
          <t>coefficient</t>
        </is>
      </c>
      <c r="O89" s="4" t="inlineStr"/>
      <c r="P89" s="6" t="inlineStr"/>
    </row>
    <row r="90" hidden="1" ht="18" customHeight="1" s="27">
      <c r="A90" s="2" t="inlineStr">
        <is>
          <t>dairy</t>
        </is>
      </c>
      <c r="B90" s="21" t="inlineStr">
        <is>
          <t>Intensive</t>
        </is>
      </c>
      <c r="C90" s="22" t="inlineStr">
        <is>
          <t>DINT_GrM</t>
        </is>
      </c>
      <c r="D90" s="4" t="inlineStr">
        <is>
          <t>Ym</t>
        </is>
      </c>
      <c r="E90" s="4" t="inlineStr">
        <is>
          <t>Methane conversion factor: % of gross energy converted to enteric CH4 (IPCC Table 10.12)</t>
        </is>
      </c>
      <c r="F90" s="4" t="inlineStr">
        <is>
          <t>%</t>
        </is>
      </c>
      <c r="G90" s="11" t="n">
        <v>6.3</v>
      </c>
      <c r="H90" s="11" t="n">
        <v>20</v>
      </c>
      <c r="I90" s="6" t="n"/>
      <c r="J90" s="6" t="n"/>
      <c r="K90" s="3" t="inlineStr">
        <is>
          <t>posnorm</t>
        </is>
      </c>
      <c r="L90" s="5">
        <f>IF(I90&lt;&gt;"",I90,IF(AND(G90&lt;&gt;"",H90&lt;&gt;""),G90*(1-H90/100),""))</f>
        <v/>
      </c>
      <c r="M90" s="5">
        <f>IF(J90&lt;&gt;"",J90,IF(AND(G90&lt;&gt;"",H90&lt;&gt;""),G90*(1+H90/100),""))</f>
        <v/>
      </c>
      <c r="N90" s="4" t="inlineStr">
        <is>
          <t>coefficient</t>
        </is>
      </c>
      <c r="O90" s="4" t="inlineStr">
        <is>
          <t>Table 10.12</t>
        </is>
      </c>
      <c r="P90" s="6" t="inlineStr"/>
    </row>
    <row r="91" hidden="1" ht="18" customHeight="1" s="27">
      <c r="A91" s="2" t="inlineStr">
        <is>
          <t>dairy</t>
        </is>
      </c>
      <c r="B91" s="21" t="inlineStr">
        <is>
          <t>Intensive</t>
        </is>
      </c>
      <c r="C91" s="22" t="inlineStr">
        <is>
          <t>DINT_GrM</t>
        </is>
      </c>
      <c r="D91" s="4" t="inlineStr">
        <is>
          <t>Bo</t>
        </is>
      </c>
      <c r="E91" s="4" t="inlineStr">
        <is>
          <t>Maximum CH4 producing capacity of manure - IPCC 2019 Refinement Vol.4 Ch.10 Table 10.16(a) (Updated). Default for cattle in 'Other regions, low productivity' = 0.13 (matches 2019R Africa/Asia cattle low-productivity). Intensive dairy in NA/W.Europe = 0.24. 2006 Africa default = 0.10. Adjust to match your production system.</t>
        </is>
      </c>
      <c r="F91" s="4" t="inlineStr">
        <is>
          <t>m3 CH4/kg VS</t>
        </is>
      </c>
      <c r="G91" s="11" t="n">
        <v>0.13</v>
      </c>
      <c r="H91" s="11" t="n">
        <v>15</v>
      </c>
      <c r="I91" s="6" t="n"/>
      <c r="J91" s="6" t="n"/>
      <c r="K91" s="3" t="inlineStr">
        <is>
          <t>pert</t>
        </is>
      </c>
      <c r="L91" s="5">
        <f>IF(I91&lt;&gt;"",I91,IF(AND(G91&lt;&gt;"",H91&lt;&gt;""),G91*(1-H91/100),""))</f>
        <v/>
      </c>
      <c r="M91" s="5">
        <f>IF(J91&lt;&gt;"",J91,IF(AND(G91&lt;&gt;"",H91&lt;&gt;""),G91*(1+H91/100),""))</f>
        <v/>
      </c>
      <c r="N91" s="4" t="inlineStr">
        <is>
          <t>coefficient</t>
        </is>
      </c>
      <c r="O91" s="4" t="inlineStr">
        <is>
          <t>Table 10.16</t>
        </is>
      </c>
      <c r="P91" s="6" t="inlineStr"/>
    </row>
    <row r="92" hidden="1" ht="18" customHeight="1" s="27">
      <c r="A92" s="2" t="inlineStr">
        <is>
          <t>dairy</t>
        </is>
      </c>
      <c r="B92" s="21" t="inlineStr">
        <is>
          <t>Intensive</t>
        </is>
      </c>
      <c r="C92" s="22" t="inlineStr">
        <is>
          <t>DINT_GrM</t>
        </is>
      </c>
      <c r="D92" s="4" t="inlineStr">
        <is>
          <t>ASH</t>
        </is>
      </c>
      <c r="E92" s="4" t="inlineStr">
        <is>
          <t>Ash content of manure — IPCC default 0.08 (Eq 10.24 footnote)</t>
        </is>
      </c>
      <c r="F92" s="4" t="inlineStr">
        <is>
          <t>fraction</t>
        </is>
      </c>
      <c r="G92" s="11" t="n">
        <v>0.08</v>
      </c>
      <c r="H92" s="11" t="n">
        <v>10</v>
      </c>
      <c r="I92" s="6" t="n"/>
      <c r="J92" s="6" t="n"/>
      <c r="K92" s="3" t="inlineStr">
        <is>
          <t>tnorm_0_1</t>
        </is>
      </c>
      <c r="L92" s="5">
        <f>IF(I92&lt;&gt;"",I92,IF(AND(G92&lt;&gt;"",H92&lt;&gt;""),G92*(1-H92/100),""))</f>
        <v/>
      </c>
      <c r="M92" s="5">
        <f>IF(J92&lt;&gt;"",J92,IF(AND(G92&lt;&gt;"",H92&lt;&gt;""),G92*(1+H92/100),""))</f>
        <v/>
      </c>
      <c r="N92" s="4" t="inlineStr">
        <is>
          <t>coefficient</t>
        </is>
      </c>
      <c r="O92" s="4" t="inlineStr">
        <is>
          <t>Eq 10.24</t>
        </is>
      </c>
      <c r="P92" s="6" t="inlineStr"/>
    </row>
    <row r="93" hidden="1" ht="18" customHeight="1" s="27">
      <c r="A93" s="2" t="inlineStr">
        <is>
          <t>dairy</t>
        </is>
      </c>
      <c r="B93" s="21" t="inlineStr">
        <is>
          <t>Intensive</t>
        </is>
      </c>
      <c r="C93" s="22" t="inlineStr">
        <is>
          <t>DINT_GrM</t>
        </is>
      </c>
      <c r="D93" s="4" t="inlineStr">
        <is>
          <t>UE</t>
        </is>
      </c>
      <c r="E93" s="4" t="inlineStr">
        <is>
          <t>Urinary energy as fraction of gross energy — IPCC default 0.04 (Eq 10.24 footnote)</t>
        </is>
      </c>
      <c r="F93" s="4" t="inlineStr">
        <is>
          <t>fraction</t>
        </is>
      </c>
      <c r="G93" s="11" t="n">
        <v>0.04</v>
      </c>
      <c r="H93" s="11" t="n">
        <v>0</v>
      </c>
      <c r="I93" s="6" t="n"/>
      <c r="J93" s="6" t="n"/>
      <c r="K93" s="3" t="inlineStr">
        <is>
          <t>pert</t>
        </is>
      </c>
      <c r="L93" s="5">
        <f>IF(I93&lt;&gt;"",I93,IF(AND(G93&lt;&gt;"",H93&lt;&gt;""),G93*(1-H93/100),""))</f>
        <v/>
      </c>
      <c r="M93" s="5">
        <f>IF(J93&lt;&gt;"",J93,IF(AND(G93&lt;&gt;"",H93&lt;&gt;""),G93*(1+H93/100),""))</f>
        <v/>
      </c>
      <c r="N93" s="4" t="inlineStr">
        <is>
          <t>coefficient</t>
        </is>
      </c>
      <c r="O93" s="4" t="inlineStr">
        <is>
          <t>Eq 10.24</t>
        </is>
      </c>
      <c r="P93" s="6" t="inlineStr"/>
    </row>
    <row r="94" hidden="1" ht="18" customHeight="1" s="27">
      <c r="A94" s="2" t="inlineStr">
        <is>
          <t>dairy</t>
        </is>
      </c>
      <c r="B94" s="21" t="inlineStr">
        <is>
          <t>Intensive</t>
        </is>
      </c>
      <c r="C94" s="22" t="inlineStr">
        <is>
          <t>DINT_GrM</t>
        </is>
      </c>
      <c r="D94" s="4" t="inlineStr">
        <is>
          <t>EF3_PRP</t>
        </is>
      </c>
      <c r="E94" s="4" t="inlineStr">
        <is>
          <t>Direct N2O EF for dung/urine on pasture/range/paddock - IPCC Vol.4 Ch.11 Table 11.1. 2006 cattle/poultry/pigs = 0.02. 2019R EF3_PRP,CPP for cattle/poultry/pigs: aggregated = 0.004 (range 0.000-0.014); wet climate = 0.006 (0.000-0.027); dry climate = 0.002 (0.000-0.007).</t>
        </is>
      </c>
      <c r="F94" s="4" t="inlineStr">
        <is>
          <t>kg N2O-N/kg N</t>
        </is>
      </c>
      <c r="G94" s="11" t="n">
        <v>0.004</v>
      </c>
      <c r="H94" s="11" t="n"/>
      <c r="I94" s="6" t="n">
        <v>0</v>
      </c>
      <c r="J94" s="6" t="n">
        <v>0.014</v>
      </c>
      <c r="K94" s="3" t="inlineStr">
        <is>
          <t>pert</t>
        </is>
      </c>
      <c r="L94" s="5">
        <f>IF(I94&lt;&gt;"",I94,IF(AND(G94&lt;&gt;"",H94&lt;&gt;""),G94*(1-H94/100),""))</f>
        <v/>
      </c>
      <c r="M94" s="5">
        <f>IF(J94&lt;&gt;"",J94,IF(AND(G94&lt;&gt;"",H94&lt;&gt;""),G94*(1+H94/100),""))</f>
        <v/>
      </c>
      <c r="N94" s="4" t="inlineStr">
        <is>
          <t>coefficient</t>
        </is>
      </c>
      <c r="O94" s="4" t="inlineStr">
        <is>
          <t>Table 11.1</t>
        </is>
      </c>
      <c r="P94" s="6" t="inlineStr"/>
    </row>
    <row r="95" hidden="1" ht="18" customHeight="1" s="27">
      <c r="A95" s="2" t="inlineStr">
        <is>
          <t>dairy</t>
        </is>
      </c>
      <c r="B95" s="21" t="inlineStr">
        <is>
          <t>Intensive</t>
        </is>
      </c>
      <c r="C95" s="22" t="inlineStr">
        <is>
          <t>DINT_GrM</t>
        </is>
      </c>
      <c r="D95" s="4" t="inlineStr">
        <is>
          <t>Frac_GASMS</t>
        </is>
      </c>
      <c r="E95" s="4" t="inlineStr">
        <is>
          <t>Fraction of managed manure N volatilised as NH3/NOx - per IPCC 2019 Refinement Vol.4 Ch.10 Table 10.22 (per manure management system). On the soil side this same fraction is FracGASM in Ch.11 Table 11.3: 2019R = 0.21 (range 0.00-0.31); 2006 = 0.20.</t>
        </is>
      </c>
      <c r="F95" s="4" t="inlineStr">
        <is>
          <t>fraction</t>
        </is>
      </c>
      <c r="G95" s="11" t="n">
        <v>0.21</v>
      </c>
      <c r="H95" s="11" t="n">
        <v>40</v>
      </c>
      <c r="I95" s="6" t="n">
        <v>0</v>
      </c>
      <c r="J95" s="6" t="n">
        <v>0.31</v>
      </c>
      <c r="K95" s="3" t="inlineStr">
        <is>
          <t>pert</t>
        </is>
      </c>
      <c r="L95" s="5">
        <f>IF(I95&lt;&gt;"",I95,IF(AND(G95&lt;&gt;"",H95&lt;&gt;""),G95*(1-H95/100),""))</f>
        <v/>
      </c>
      <c r="M95" s="5">
        <f>IF(J95&lt;&gt;"",J95,IF(AND(G95&lt;&gt;"",H95&lt;&gt;""),G95*(1+H95/100),""))</f>
        <v/>
      </c>
      <c r="N95" s="4" t="inlineStr">
        <is>
          <t>coefficient</t>
        </is>
      </c>
      <c r="O95" s="4" t="inlineStr">
        <is>
          <t>Table 10.22</t>
        </is>
      </c>
      <c r="P95" s="6" t="inlineStr"/>
    </row>
    <row r="96" hidden="1" ht="18" customHeight="1" s="27">
      <c r="A96" s="2" t="inlineStr">
        <is>
          <t>dairy</t>
        </is>
      </c>
      <c r="B96" s="21" t="inlineStr">
        <is>
          <t>Intensive</t>
        </is>
      </c>
      <c r="C96" s="22" t="inlineStr">
        <is>
          <t>DINT_GrM</t>
        </is>
      </c>
      <c r="D96" s="4" t="inlineStr">
        <is>
          <t>EF4</t>
        </is>
      </c>
      <c r="E96" s="4" t="inlineStr">
        <is>
          <t>N2O EF for atmospheric N deposition - IPCC Vol.4 Ch.11 Table 11.3. 2006 = 0.010. 2019 Refinement: aggregated default = 0.010 (range 0.002-0.018); wet climate = 0.014 (0.011-0.017); dry climate = 0.005 (0.000-0.011). Use 0.014 only when classifying as wet climate.</t>
        </is>
      </c>
      <c r="F96" s="4" t="inlineStr">
        <is>
          <t>kg N2O-N/kg N</t>
        </is>
      </c>
      <c r="G96" s="11" t="n">
        <v>0.01</v>
      </c>
      <c r="H96" s="11" t="n"/>
      <c r="I96" s="6" t="n">
        <v>0.002</v>
      </c>
      <c r="J96" s="6" t="n">
        <v>0.018</v>
      </c>
      <c r="K96" s="3" t="inlineStr">
        <is>
          <t>pert</t>
        </is>
      </c>
      <c r="L96" s="5">
        <f>IF(I96&lt;&gt;"",I96,IF(AND(G96&lt;&gt;"",H96&lt;&gt;""),G96*(1-H96/100),""))</f>
        <v/>
      </c>
      <c r="M96" s="5">
        <f>IF(J96&lt;&gt;"",J96,IF(AND(G96&lt;&gt;"",H96&lt;&gt;""),G96*(1+H96/100),""))</f>
        <v/>
      </c>
      <c r="N96" s="4" t="inlineStr">
        <is>
          <t>coefficient</t>
        </is>
      </c>
      <c r="O96" s="4" t="inlineStr">
        <is>
          <t>Table 11.3</t>
        </is>
      </c>
      <c r="P96" s="6" t="inlineStr"/>
    </row>
    <row r="97" hidden="1" ht="18" customHeight="1" s="27">
      <c r="A97" s="2" t="inlineStr">
        <is>
          <t>dairy</t>
        </is>
      </c>
      <c r="B97" s="21" t="inlineStr">
        <is>
          <t>Intensive</t>
        </is>
      </c>
      <c r="C97" s="22" t="inlineStr">
        <is>
          <t>DINT_GrM</t>
        </is>
      </c>
      <c r="D97" s="4" t="inlineStr">
        <is>
          <t>EF5</t>
        </is>
      </c>
      <c r="E97" s="4" t="inlineStr">
        <is>
          <t>N2O EF for N leaching/runoff - IPCC Vol.4 Ch.11 Table 11.3. 2006 default = 0.0075; 2019 Refinement updated to 0.011 kg N2O-N/kg N leached/runoff (range 0.000-0.020). No climate disaggregation.</t>
        </is>
      </c>
      <c r="F97" s="4" t="inlineStr">
        <is>
          <t>kg N2O-N/kg N</t>
        </is>
      </c>
      <c r="G97" s="11" t="n">
        <v>0.011</v>
      </c>
      <c r="H97" s="11" t="n"/>
      <c r="I97" s="6" t="n">
        <v>0</v>
      </c>
      <c r="J97" s="6" t="n">
        <v>0.02</v>
      </c>
      <c r="K97" s="3" t="inlineStr">
        <is>
          <t>pert</t>
        </is>
      </c>
      <c r="L97" s="5">
        <f>IF(I97&lt;&gt;"",I97,IF(AND(G97&lt;&gt;"",H97&lt;&gt;""),G97*(1-H97/100),""))</f>
        <v/>
      </c>
      <c r="M97" s="5">
        <f>IF(J97&lt;&gt;"",J97,IF(AND(G97&lt;&gt;"",H97&lt;&gt;""),G97*(1+H97/100),""))</f>
        <v/>
      </c>
      <c r="N97" s="4" t="inlineStr">
        <is>
          <t>coefficient</t>
        </is>
      </c>
      <c r="O97" s="4" t="inlineStr">
        <is>
          <t>Table 11.3</t>
        </is>
      </c>
      <c r="P97" s="6" t="inlineStr"/>
    </row>
    <row r="98" hidden="1" ht="18" customHeight="1" s="27">
      <c r="A98" s="2" t="inlineStr">
        <is>
          <t>dairy</t>
        </is>
      </c>
      <c r="B98" s="21" t="inlineStr">
        <is>
          <t>Intensive</t>
        </is>
      </c>
      <c r="C98" s="22" t="inlineStr">
        <is>
          <t>DINT_GrM</t>
        </is>
      </c>
      <c r="D98" s="4" t="inlineStr">
        <is>
          <t>Frac_LEACH_H</t>
        </is>
      </c>
      <c r="E98" s="4" t="inlineStr">
        <is>
          <t>Fraction of managed N lost through leaching (managed-storage side) - IPCC 2019 Refinement Vol.4 Ch.10 Table 10.23. Distinct from the pasture-side Frac_LEACH_PRP (FracLEACH-(H) in Ch.11 Table 11.3).</t>
        </is>
      </c>
      <c r="F98" s="4" t="inlineStr">
        <is>
          <t>fraction</t>
        </is>
      </c>
      <c r="G98" s="11" t="n">
        <v>0.02</v>
      </c>
      <c r="H98" s="11" t="n"/>
      <c r="I98" s="6" t="n">
        <v>0.006</v>
      </c>
      <c r="J98" s="6" t="n">
        <v>0.054</v>
      </c>
      <c r="K98" s="3" t="inlineStr">
        <is>
          <t>lognormal</t>
        </is>
      </c>
      <c r="L98" s="5">
        <f>IF(I98&lt;&gt;"",I98,IF(AND(G98&lt;&gt;"",H98&lt;&gt;""),G98*(1-H98/100),""))</f>
        <v/>
      </c>
      <c r="M98" s="5">
        <f>IF(J98&lt;&gt;"",J98,IF(AND(G98&lt;&gt;"",H98&lt;&gt;""),G98*(1+H98/100),""))</f>
        <v/>
      </c>
      <c r="N98" s="4" t="inlineStr">
        <is>
          <t>coefficient</t>
        </is>
      </c>
      <c r="O98" s="4" t="inlineStr">
        <is>
          <t>Table 11.3</t>
        </is>
      </c>
      <c r="P98" s="6" t="inlineStr"/>
    </row>
    <row r="99" hidden="1" ht="18" customHeight="1" s="27">
      <c r="A99" s="2" t="inlineStr">
        <is>
          <t>dairy</t>
        </is>
      </c>
      <c r="B99" s="21" t="inlineStr">
        <is>
          <t>Intensive</t>
        </is>
      </c>
      <c r="C99" s="22" t="inlineStr">
        <is>
          <t>DINT_GrM</t>
        </is>
      </c>
      <c r="D99" s="4" t="inlineStr">
        <is>
          <t>MilkPR</t>
        </is>
      </c>
      <c r="E99" s="4" t="inlineStr">
        <is>
          <t>Protein content of milk (%) - feeds the milk-N term in IPCC Vol.4 Ch.10 Eq 10.33 (N retention for cattle, where the 6.38 milk-protein-to-N conversion factor is defined).</t>
        </is>
      </c>
      <c r="F99" s="4" t="inlineStr">
        <is>
          <t>%</t>
        </is>
      </c>
      <c r="G99" s="2" t="n">
        <v>3.42</v>
      </c>
      <c r="H99" s="2" t="n">
        <v>10</v>
      </c>
      <c r="I99" s="6" t="n"/>
      <c r="J99" s="6" t="n"/>
      <c r="K99" s="3" t="inlineStr">
        <is>
          <t>normal</t>
        </is>
      </c>
      <c r="L99" s="5">
        <f>IF(I99&lt;&gt;"",I99,IF(AND(G99&lt;&gt;"",H99&lt;&gt;""),G99*(1-H99/100),""))</f>
        <v/>
      </c>
      <c r="M99" s="5">
        <f>IF(J99&lt;&gt;"",J99,IF(AND(G99&lt;&gt;"",H99&lt;&gt;""),G99*(1+H99/100),""))</f>
        <v/>
      </c>
      <c r="N99" s="4" t="inlineStr">
        <is>
          <t>coefficient</t>
        </is>
      </c>
      <c r="O99" s="4" t="inlineStr">
        <is>
          <t>Table 10A.2</t>
        </is>
      </c>
      <c r="P99" s="6" t="inlineStr"/>
    </row>
    <row r="100" hidden="1" ht="18" customHeight="1" s="27">
      <c r="A100" s="2" t="inlineStr">
        <is>
          <t>dairy</t>
        </is>
      </c>
      <c r="B100" s="21" t="inlineStr">
        <is>
          <t>Intensive</t>
        </is>
      </c>
      <c r="C100" s="22" t="inlineStr">
        <is>
          <t>DINT_calves</t>
        </is>
      </c>
      <c r="D100" s="4" t="inlineStr">
        <is>
          <t>N</t>
        </is>
      </c>
      <c r="E100" s="4" t="inlineStr">
        <is>
          <t>Number of animals in this sub-category</t>
        </is>
      </c>
      <c r="F100" s="4" t="inlineStr">
        <is>
          <t>head</t>
        </is>
      </c>
      <c r="G100" s="2" t="n">
        <v>7736</v>
      </c>
      <c r="H100" s="2" t="n">
        <v>2.1</v>
      </c>
      <c r="I100" s="6" t="n"/>
      <c r="J100" s="6" t="n"/>
      <c r="K100" s="3" t="inlineStr">
        <is>
          <t>normal</t>
        </is>
      </c>
      <c r="L100" s="5">
        <f>IF(I100&lt;&gt;"",I100,IF(AND(G100&lt;&gt;"",H100&lt;&gt;""),G100*(1-H100/100),""))</f>
        <v/>
      </c>
      <c r="M100" s="5">
        <f>IF(J100&lt;&gt;"",J100,IF(AND(G100&lt;&gt;"",H100&lt;&gt;""),G100*(1+H100/100),""))</f>
        <v/>
      </c>
      <c r="N100" s="4" t="inlineStr">
        <is>
          <t>activity_data</t>
        </is>
      </c>
      <c r="O100" s="4" t="inlineStr"/>
      <c r="P100" s="6" t="inlineStr"/>
    </row>
    <row r="101" hidden="1" ht="18" customHeight="1" s="27">
      <c r="A101" s="2" t="inlineStr">
        <is>
          <t>dairy</t>
        </is>
      </c>
      <c r="B101" s="21" t="inlineStr">
        <is>
          <t>Intensive</t>
        </is>
      </c>
      <c r="C101" s="22" t="inlineStr">
        <is>
          <t>DINT_calves</t>
        </is>
      </c>
      <c r="D101" s="4" t="inlineStr">
        <is>
          <t>W</t>
        </is>
      </c>
      <c r="E101" s="4" t="inlineStr">
        <is>
          <t>Average live body weight of the animals</t>
        </is>
      </c>
      <c r="F101" s="4" t="inlineStr">
        <is>
          <t>kg</t>
        </is>
      </c>
      <c r="G101" s="2" t="n">
        <v>198.9</v>
      </c>
      <c r="H101" s="2" t="n">
        <v>9</v>
      </c>
      <c r="I101" s="6" t="n"/>
      <c r="J101" s="6" t="n"/>
      <c r="K101" s="3" t="inlineStr">
        <is>
          <t>normal</t>
        </is>
      </c>
      <c r="L101" s="5">
        <f>IF(I101&lt;&gt;"",I101,IF(AND(G101&lt;&gt;"",H101&lt;&gt;""),G101*(1-H101/100),""))</f>
        <v/>
      </c>
      <c r="M101" s="5">
        <f>IF(J101&lt;&gt;"",J101,IF(AND(G101&lt;&gt;"",H101&lt;&gt;""),G101*(1+H101/100),""))</f>
        <v/>
      </c>
      <c r="N101" s="4" t="inlineStr">
        <is>
          <t>coefficient</t>
        </is>
      </c>
      <c r="O101" s="4" t="inlineStr">
        <is>
          <t>Table 10A.2</t>
        </is>
      </c>
      <c r="P101" s="6" t="inlineStr"/>
    </row>
    <row r="102" hidden="1" ht="18" customHeight="1" s="27">
      <c r="A102" s="2" t="inlineStr">
        <is>
          <t>dairy</t>
        </is>
      </c>
      <c r="B102" s="21" t="inlineStr">
        <is>
          <t>Intensive</t>
        </is>
      </c>
      <c r="C102" s="22" t="inlineStr">
        <is>
          <t>DINT_calves</t>
        </is>
      </c>
      <c r="D102" s="4" t="inlineStr">
        <is>
          <t>MW</t>
        </is>
      </c>
      <c r="E102" s="4" t="inlineStr">
        <is>
          <t>Mature (adult) body weight of the animals</t>
        </is>
      </c>
      <c r="F102" s="4" t="inlineStr">
        <is>
          <t>kg</t>
        </is>
      </c>
      <c r="G102" s="2" t="n">
        <v>563.5</v>
      </c>
      <c r="H102" s="2" t="n">
        <v>0</v>
      </c>
      <c r="I102" s="6" t="n"/>
      <c r="J102" s="6" t="n"/>
      <c r="K102" s="3" t="inlineStr">
        <is>
          <t>normal</t>
        </is>
      </c>
      <c r="L102" s="5">
        <f>IF(I102&lt;&gt;"",I102,IF(AND(G102&lt;&gt;"",H102&lt;&gt;""),G102*(1-H102/100),""))</f>
        <v/>
      </c>
      <c r="M102" s="5">
        <f>IF(J102&lt;&gt;"",J102,IF(AND(G102&lt;&gt;"",H102&lt;&gt;""),G102*(1+H102/100),""))</f>
        <v/>
      </c>
      <c r="N102" s="4" t="inlineStr">
        <is>
          <t>coefficient</t>
        </is>
      </c>
      <c r="O102" s="4" t="inlineStr">
        <is>
          <t>Table 10A.2</t>
        </is>
      </c>
      <c r="P102" s="6" t="inlineStr"/>
    </row>
    <row r="103" hidden="1" ht="18" customHeight="1" s="27">
      <c r="A103" s="2" t="inlineStr">
        <is>
          <t>dairy</t>
        </is>
      </c>
      <c r="B103" s="21" t="inlineStr">
        <is>
          <t>Intensive</t>
        </is>
      </c>
      <c r="C103" s="22" t="inlineStr">
        <is>
          <t>DINT_calves</t>
        </is>
      </c>
      <c r="D103" s="4" t="inlineStr">
        <is>
          <t>WG</t>
        </is>
      </c>
      <c r="E103" s="4" t="inlineStr">
        <is>
          <t>Average daily weight gain — set 0 for non-growing (adult) animals</t>
        </is>
      </c>
      <c r="F103" s="4" t="inlineStr">
        <is>
          <t>kg/day</t>
        </is>
      </c>
      <c r="G103" s="2" t="n">
        <v>0.91</v>
      </c>
      <c r="H103" s="2" t="n"/>
      <c r="I103" s="6" t="n">
        <v>0.58</v>
      </c>
      <c r="J103" s="6" t="n">
        <v>1.12</v>
      </c>
      <c r="K103" s="3" t="inlineStr">
        <is>
          <t>pert</t>
        </is>
      </c>
      <c r="L103" s="5">
        <f>IF(I103&lt;&gt;"",I103,IF(AND(G103&lt;&gt;"",H103&lt;&gt;""),G103*(1-H103/100),""))</f>
        <v/>
      </c>
      <c r="M103" s="5">
        <f>IF(J103&lt;&gt;"",J103,IF(AND(G103&lt;&gt;"",H103&lt;&gt;""),G103*(1+H103/100),""))</f>
        <v/>
      </c>
      <c r="N103" s="4" t="inlineStr">
        <is>
          <t>coefficient</t>
        </is>
      </c>
      <c r="O103" s="4" t="inlineStr">
        <is>
          <t>Table 10A.1</t>
        </is>
      </c>
      <c r="P103" s="6" t="inlineStr"/>
    </row>
    <row r="104" hidden="1" ht="18" customHeight="1" s="27">
      <c r="A104" s="2" t="inlineStr">
        <is>
          <t>dairy</t>
        </is>
      </c>
      <c r="B104" s="21" t="inlineStr">
        <is>
          <t>Intensive</t>
        </is>
      </c>
      <c r="C104" s="22" t="inlineStr">
        <is>
          <t>DINT_calves</t>
        </is>
      </c>
      <c r="D104" s="4" t="inlineStr">
        <is>
          <t>Milk</t>
        </is>
      </c>
      <c r="E104" s="4" t="inlineStr">
        <is>
          <t>Daily milk yield per lactating cow — set 0 for non-dairy sub-categories</t>
        </is>
      </c>
      <c r="F104" s="4" t="inlineStr">
        <is>
          <t>kg/head/day</t>
        </is>
      </c>
      <c r="G104" s="2" t="n">
        <v>0</v>
      </c>
      <c r="H104" s="2" t="n">
        <v>0</v>
      </c>
      <c r="I104" s="6" t="n"/>
      <c r="J104" s="6" t="n"/>
      <c r="K104" s="3" t="inlineStr">
        <is>
          <t>normal</t>
        </is>
      </c>
      <c r="L104" s="5">
        <f>IF(I104&lt;&gt;"",I104,IF(AND(G104&lt;&gt;"",H104&lt;&gt;""),G104*(1-H104/100),""))</f>
        <v/>
      </c>
      <c r="M104" s="5">
        <f>IF(J104&lt;&gt;"",J104,IF(AND(G104&lt;&gt;"",H104&lt;&gt;""),G104*(1+H104/100),""))</f>
        <v/>
      </c>
      <c r="N104" s="4" t="inlineStr">
        <is>
          <t>coefficient</t>
        </is>
      </c>
      <c r="O104" s="4" t="inlineStr"/>
      <c r="P104" s="6" t="inlineStr"/>
    </row>
    <row r="105" hidden="1" ht="18" customHeight="1" s="27">
      <c r="A105" s="2" t="inlineStr">
        <is>
          <t>dairy</t>
        </is>
      </c>
      <c r="B105" s="21" t="inlineStr">
        <is>
          <t>Intensive</t>
        </is>
      </c>
      <c r="C105" s="22" t="inlineStr">
        <is>
          <t>DINT_calves</t>
        </is>
      </c>
      <c r="D105" s="4" t="inlineStr">
        <is>
          <t>Fat</t>
        </is>
      </c>
      <c r="E105" s="4" t="inlineStr">
        <is>
          <t>Milk fat content of the diet</t>
        </is>
      </c>
      <c r="F105" s="4" t="inlineStr">
        <is>
          <t>%</t>
        </is>
      </c>
      <c r="G105" s="2" t="n">
        <v>0</v>
      </c>
      <c r="H105" s="2" t="n">
        <v>0</v>
      </c>
      <c r="I105" s="6" t="n"/>
      <c r="J105" s="6" t="n"/>
      <c r="K105" s="3" t="inlineStr">
        <is>
          <t>normal</t>
        </is>
      </c>
      <c r="L105" s="5">
        <f>IF(I105&lt;&gt;"",I105,IF(AND(G105&lt;&gt;"",H105&lt;&gt;""),G105*(1-H105/100),""))</f>
        <v/>
      </c>
      <c r="M105" s="5">
        <f>IF(J105&lt;&gt;"",J105,IF(AND(G105&lt;&gt;"",H105&lt;&gt;""),G105*(1+H105/100),""))</f>
        <v/>
      </c>
      <c r="N105" s="4" t="inlineStr">
        <is>
          <t>coefficient</t>
        </is>
      </c>
      <c r="O105" s="4" t="inlineStr"/>
      <c r="P105" s="6" t="inlineStr"/>
    </row>
    <row r="106" hidden="1" ht="18" customHeight="1" s="27">
      <c r="A106" s="2" t="inlineStr">
        <is>
          <t>dairy</t>
        </is>
      </c>
      <c r="B106" s="21" t="inlineStr">
        <is>
          <t>Intensive</t>
        </is>
      </c>
      <c r="C106" s="22" t="inlineStr">
        <is>
          <t>DINT_calves</t>
        </is>
      </c>
      <c r="D106" s="4" t="inlineStr">
        <is>
          <t>pct_calving</t>
        </is>
      </c>
      <c r="E106" s="4" t="inlineStr">
        <is>
          <t>Fraction of females that give birth (calve) in a year (0 to 1) - IPCC 2019 Refinement Vol.4 Ch.10 §10.5. NOT the same as 'snapshot % lactating'; this is the annual calving rate, which weights NEl, NEp and N excretion across the sub-category.</t>
        </is>
      </c>
      <c r="F106" s="4" t="inlineStr">
        <is>
          <t>fraction (0-1)</t>
        </is>
      </c>
      <c r="G106" s="2" t="n">
        <v>0</v>
      </c>
      <c r="H106" s="2" t="n">
        <v>0</v>
      </c>
      <c r="I106" s="6" t="n"/>
      <c r="J106" s="6" t="n"/>
      <c r="K106" s="3" t="inlineStr">
        <is>
          <t>normal</t>
        </is>
      </c>
      <c r="L106" s="5">
        <f>IF(I106&lt;&gt;"",I106,IF(AND(G106&lt;&gt;"",H106&lt;&gt;""),G106*(1-H106/100),""))</f>
        <v/>
      </c>
      <c r="M106" s="5">
        <f>IF(J106&lt;&gt;"",J106,IF(AND(G106&lt;&gt;"",H106&lt;&gt;""),G106*(1+H106/100),""))</f>
        <v/>
      </c>
      <c r="N106" s="4" t="inlineStr">
        <is>
          <t>coefficient</t>
        </is>
      </c>
      <c r="O106" s="4" t="inlineStr"/>
      <c r="P106" s="6" t="inlineStr"/>
    </row>
    <row r="107" hidden="1" ht="18" customHeight="1" s="27">
      <c r="A107" s="2" t="inlineStr">
        <is>
          <t>dairy</t>
        </is>
      </c>
      <c r="B107" s="21" t="inlineStr">
        <is>
          <t>Intensive</t>
        </is>
      </c>
      <c r="C107" s="22" t="inlineStr">
        <is>
          <t>DINT_calves</t>
        </is>
      </c>
      <c r="D107" s="4" t="inlineStr">
        <is>
          <t>DE</t>
        </is>
      </c>
      <c r="E107" s="4" t="inlineStr">
        <is>
          <t>Digestible energy as a percentage of gross energy — typical range 45-75%</t>
        </is>
      </c>
      <c r="F107" s="4" t="inlineStr">
        <is>
          <t>%</t>
        </is>
      </c>
      <c r="G107" s="2" t="n">
        <v>66.18000000000001</v>
      </c>
      <c r="H107" s="2" t="n"/>
      <c r="I107" s="6" t="n">
        <v>54.4</v>
      </c>
      <c r="J107" s="6" t="n">
        <v>70.94</v>
      </c>
      <c r="K107" s="3" t="inlineStr">
        <is>
          <t>pert</t>
        </is>
      </c>
      <c r="L107" s="5">
        <f>IF(I107&lt;&gt;"",I107,IF(AND(G107&lt;&gt;"",H107&lt;&gt;""),G107*(1-H107/100),""))</f>
        <v/>
      </c>
      <c r="M107" s="5">
        <f>IF(J107&lt;&gt;"",J107,IF(AND(G107&lt;&gt;"",H107&lt;&gt;""),G107*(1+H107/100),""))</f>
        <v/>
      </c>
      <c r="N107" s="4" t="inlineStr">
        <is>
          <t>coefficient</t>
        </is>
      </c>
      <c r="O107" s="4" t="inlineStr">
        <is>
          <t>Table 10.2</t>
        </is>
      </c>
      <c r="P107" s="6" t="inlineStr"/>
    </row>
    <row r="108" hidden="1" ht="18" customHeight="1" s="27">
      <c r="A108" s="2" t="inlineStr">
        <is>
          <t>dairy</t>
        </is>
      </c>
      <c r="B108" s="21" t="inlineStr">
        <is>
          <t>Intensive</t>
        </is>
      </c>
      <c r="C108" s="22" t="inlineStr">
        <is>
          <t>DINT_calves</t>
        </is>
      </c>
      <c r="D108" s="4" t="inlineStr">
        <is>
          <t>Cfi</t>
        </is>
      </c>
      <c r="E108" s="4" t="inlineStr">
        <is>
          <t>Maintenance energy coefficient — depends on sex and lactation status (IPCC Table 10.4)</t>
        </is>
      </c>
      <c r="F108" s="4" t="inlineStr">
        <is>
          <t>MJ/day/kg^0.75</t>
        </is>
      </c>
      <c r="G108" s="11" t="n">
        <v>0.322</v>
      </c>
      <c r="H108" s="11" t="n">
        <v>15</v>
      </c>
      <c r="I108" s="6" t="n"/>
      <c r="J108" s="6" t="n"/>
      <c r="K108" s="3" t="inlineStr">
        <is>
          <t>beta</t>
        </is>
      </c>
      <c r="L108" s="5">
        <f>IF(I108&lt;&gt;"",I108,IF(AND(G108&lt;&gt;"",H108&lt;&gt;""),G108*(1-H108/100),""))</f>
        <v/>
      </c>
      <c r="M108" s="5">
        <f>IF(J108&lt;&gt;"",J108,IF(AND(G108&lt;&gt;"",H108&lt;&gt;""),G108*(1+H108/100),""))</f>
        <v/>
      </c>
      <c r="N108" s="4" t="inlineStr">
        <is>
          <t>coefficient</t>
        </is>
      </c>
      <c r="O108" s="4" t="inlineStr">
        <is>
          <t>Table 10.4</t>
        </is>
      </c>
      <c r="P108" s="6" t="inlineStr"/>
    </row>
    <row r="109" hidden="1" ht="18" customHeight="1" s="27">
      <c r="A109" s="2" t="inlineStr">
        <is>
          <t>dairy</t>
        </is>
      </c>
      <c r="B109" s="21" t="inlineStr">
        <is>
          <t>Intensive</t>
        </is>
      </c>
      <c r="C109" s="22" t="inlineStr">
        <is>
          <t>DINT_calves</t>
        </is>
      </c>
      <c r="D109" s="4" t="inlineStr">
        <is>
          <t>Ca</t>
        </is>
      </c>
      <c r="E109" s="4" t="inlineStr">
        <is>
          <t>Activity coefficient for locomotion energy — depends on feeding situation (IPCC Table 10.5)</t>
        </is>
      </c>
      <c r="F109" s="4" t="inlineStr">
        <is>
          <t>dimensionless</t>
        </is>
      </c>
      <c r="G109" s="11" t="n">
        <v>0.17</v>
      </c>
      <c r="H109" s="11" t="n">
        <v>15</v>
      </c>
      <c r="I109" s="6" t="n"/>
      <c r="J109" s="6" t="n"/>
      <c r="K109" s="3" t="inlineStr">
        <is>
          <t>triangular</t>
        </is>
      </c>
      <c r="L109" s="5">
        <f>IF(I109&lt;&gt;"",I109,IF(AND(G109&lt;&gt;"",H109&lt;&gt;""),G109*(1-H109/100),""))</f>
        <v/>
      </c>
      <c r="M109" s="5">
        <f>IF(J109&lt;&gt;"",J109,IF(AND(G109&lt;&gt;"",H109&lt;&gt;""),G109*(1+H109/100),""))</f>
        <v/>
      </c>
      <c r="N109" s="4" t="inlineStr">
        <is>
          <t>coefficient</t>
        </is>
      </c>
      <c r="O109" s="4" t="inlineStr">
        <is>
          <t>Table 10.5</t>
        </is>
      </c>
      <c r="P109" s="6" t="inlineStr"/>
    </row>
    <row r="110" hidden="1" ht="18" customHeight="1" s="27">
      <c r="A110" s="2" t="inlineStr">
        <is>
          <t>dairy</t>
        </is>
      </c>
      <c r="B110" s="21" t="inlineStr">
        <is>
          <t>Intensive</t>
        </is>
      </c>
      <c r="C110" s="22" t="inlineStr">
        <is>
          <t>DINT_calves</t>
        </is>
      </c>
      <c r="D110" s="4" t="inlineStr">
        <is>
          <t>C</t>
        </is>
      </c>
      <c r="E110" s="4" t="inlineStr">
        <is>
          <t>Growth coefficient for the NEg equation — depends on sex (IPCC Eq 10.6)</t>
        </is>
      </c>
      <c r="F110" s="4" t="inlineStr">
        <is>
          <t>dimensionless</t>
        </is>
      </c>
      <c r="G110" s="11" t="n">
        <v>0.89</v>
      </c>
      <c r="H110" s="11" t="n">
        <v>15</v>
      </c>
      <c r="I110" s="6" t="n"/>
      <c r="J110" s="6" t="n"/>
      <c r="K110" s="3" t="inlineStr">
        <is>
          <t>posnorm</t>
        </is>
      </c>
      <c r="L110" s="5">
        <f>IF(I110&lt;&gt;"",I110,IF(AND(G110&lt;&gt;"",H110&lt;&gt;""),G110*(1-H110/100),""))</f>
        <v/>
      </c>
      <c r="M110" s="5">
        <f>IF(J110&lt;&gt;"",J110,IF(AND(G110&lt;&gt;"",H110&lt;&gt;""),G110*(1+H110/100),""))</f>
        <v/>
      </c>
      <c r="N110" s="4" t="inlineStr">
        <is>
          <t>coefficient</t>
        </is>
      </c>
      <c r="O110" s="4" t="inlineStr">
        <is>
          <t>Eq 10.6</t>
        </is>
      </c>
      <c r="P110" s="6" t="inlineStr"/>
    </row>
    <row r="111" hidden="1" ht="18" customHeight="1" s="27">
      <c r="A111" s="2" t="inlineStr">
        <is>
          <t>dairy</t>
        </is>
      </c>
      <c r="B111" s="21" t="inlineStr">
        <is>
          <t>Intensive</t>
        </is>
      </c>
      <c r="C111" s="22" t="inlineStr">
        <is>
          <t>DINT_calves</t>
        </is>
      </c>
      <c r="D111" s="4" t="inlineStr">
        <is>
          <t>Cp</t>
        </is>
      </c>
      <c r="E111" s="4" t="inlineStr">
        <is>
          <t>Pregnancy coefficient — 0.10 for pregnant animals (IPCC Table 10.7)</t>
        </is>
      </c>
      <c r="F111" s="4" t="inlineStr">
        <is>
          <t>dimensionless</t>
        </is>
      </c>
      <c r="G111" s="11" t="n">
        <v>0.1</v>
      </c>
      <c r="H111" s="11" t="n">
        <v>15</v>
      </c>
      <c r="I111" s="6" t="n"/>
      <c r="J111" s="6" t="n"/>
      <c r="K111" s="3" t="inlineStr">
        <is>
          <t>beta</t>
        </is>
      </c>
      <c r="L111" s="5">
        <f>IF(I111&lt;&gt;"",I111,IF(AND(G111&lt;&gt;"",H111&lt;&gt;""),G111*(1-H111/100),""))</f>
        <v/>
      </c>
      <c r="M111" s="5">
        <f>IF(J111&lt;&gt;"",J111,IF(AND(G111&lt;&gt;"",H111&lt;&gt;""),G111*(1+H111/100),""))</f>
        <v/>
      </c>
      <c r="N111" s="4" t="inlineStr">
        <is>
          <t>coefficient</t>
        </is>
      </c>
      <c r="O111" s="4" t="inlineStr">
        <is>
          <t>Table 10.7</t>
        </is>
      </c>
      <c r="P111" s="6" t="inlineStr"/>
    </row>
    <row r="112" hidden="1" ht="18" customHeight="1" s="27">
      <c r="A112" s="2" t="inlineStr">
        <is>
          <t>dairy</t>
        </is>
      </c>
      <c r="B112" s="21" t="inlineStr">
        <is>
          <t>Intensive</t>
        </is>
      </c>
      <c r="C112" s="22" t="inlineStr">
        <is>
          <t>DINT_calves</t>
        </is>
      </c>
      <c r="D112" s="4" t="inlineStr">
        <is>
          <t>hours</t>
        </is>
      </c>
      <c r="E112" s="4" t="inlineStr">
        <is>
          <t>Daily working hours (IPCC Vol.4 Ch.10 Eq. 10.11) - set 0 when animals do no work (typical for dairy/beef cattle inventories).</t>
        </is>
      </c>
      <c r="F112" s="4" t="inlineStr">
        <is>
          <t>hours/day</t>
        </is>
      </c>
      <c r="G112" s="2" t="n">
        <v>0</v>
      </c>
      <c r="H112" s="2" t="n">
        <v>0</v>
      </c>
      <c r="I112" s="6" t="n"/>
      <c r="J112" s="6" t="n"/>
      <c r="K112" s="3" t="inlineStr">
        <is>
          <t>pert</t>
        </is>
      </c>
      <c r="L112" s="5">
        <f>IF(I112&lt;&gt;"",I112,IF(AND(G112&lt;&gt;"",H112&lt;&gt;""),G112*(1-H112/100),""))</f>
        <v/>
      </c>
      <c r="M112" s="5">
        <f>IF(J112&lt;&gt;"",J112,IF(AND(G112&lt;&gt;"",H112&lt;&gt;""),G112*(1+H112/100),""))</f>
        <v/>
      </c>
      <c r="N112" s="4" t="inlineStr">
        <is>
          <t>coefficient</t>
        </is>
      </c>
      <c r="O112" s="4" t="inlineStr">
        <is>
          <t>Eq 10.11</t>
        </is>
      </c>
      <c r="P112" s="6" t="inlineStr"/>
    </row>
    <row r="113" hidden="1" ht="18" customHeight="1" s="27">
      <c r="A113" s="2" t="inlineStr">
        <is>
          <t>dairy</t>
        </is>
      </c>
      <c r="B113" s="21" t="inlineStr">
        <is>
          <t>Intensive</t>
        </is>
      </c>
      <c r="C113" s="22" t="inlineStr">
        <is>
          <t>DINT_calves</t>
        </is>
      </c>
      <c r="D113" s="4" t="inlineStr">
        <is>
          <t>CP</t>
        </is>
      </c>
      <c r="E113" s="4" t="inlineStr">
        <is>
          <t>Crude protein content of the diet — used to estimate nitrogen excretion</t>
        </is>
      </c>
      <c r="F113" s="4" t="inlineStr">
        <is>
          <t>%</t>
        </is>
      </c>
      <c r="G113" s="2" t="n">
        <v>11.49</v>
      </c>
      <c r="H113" s="2" t="n"/>
      <c r="I113" s="6" t="n">
        <v>11.232</v>
      </c>
      <c r="J113" s="6" t="n">
        <v>13.62</v>
      </c>
      <c r="K113" s="3" t="inlineStr">
        <is>
          <t>pert</t>
        </is>
      </c>
      <c r="L113" s="5">
        <f>IF(I113&lt;&gt;"",I113,IF(AND(G113&lt;&gt;"",H113&lt;&gt;""),G113*(1-H113/100),""))</f>
        <v/>
      </c>
      <c r="M113" s="5">
        <f>IF(J113&lt;&gt;"",J113,IF(AND(G113&lt;&gt;"",H113&lt;&gt;""),G113*(1+H113/100),""))</f>
        <v/>
      </c>
      <c r="N113" s="4" t="inlineStr">
        <is>
          <t>coefficient</t>
        </is>
      </c>
      <c r="O113" s="4" t="inlineStr"/>
      <c r="P113" s="6" t="inlineStr"/>
    </row>
    <row r="114" hidden="1" ht="18" customHeight="1" s="27">
      <c r="A114" s="2" t="inlineStr">
        <is>
          <t>dairy</t>
        </is>
      </c>
      <c r="B114" s="21" t="inlineStr">
        <is>
          <t>Intensive</t>
        </is>
      </c>
      <c r="C114" s="22" t="inlineStr">
        <is>
          <t>DINT_calves</t>
        </is>
      </c>
      <c r="D114" s="4" t="inlineStr">
        <is>
          <t>Ym</t>
        </is>
      </c>
      <c r="E114" s="4" t="inlineStr">
        <is>
          <t>Methane conversion factor: % of gross energy converted to enteric CH4 (IPCC Table 10.12)</t>
        </is>
      </c>
      <c r="F114" s="4" t="inlineStr">
        <is>
          <t>%</t>
        </is>
      </c>
      <c r="G114" s="11" t="n">
        <v>3.25</v>
      </c>
      <c r="H114" s="11" t="n">
        <v>20</v>
      </c>
      <c r="I114" s="6" t="n"/>
      <c r="J114" s="6" t="n"/>
      <c r="K114" s="3" t="inlineStr">
        <is>
          <t>posnorm</t>
        </is>
      </c>
      <c r="L114" s="5">
        <f>IF(I114&lt;&gt;"",I114,IF(AND(G114&lt;&gt;"",H114&lt;&gt;""),G114*(1-H114/100),""))</f>
        <v/>
      </c>
      <c r="M114" s="5">
        <f>IF(J114&lt;&gt;"",J114,IF(AND(G114&lt;&gt;"",H114&lt;&gt;""),G114*(1+H114/100),""))</f>
        <v/>
      </c>
      <c r="N114" s="4" t="inlineStr">
        <is>
          <t>coefficient</t>
        </is>
      </c>
      <c r="O114" s="4" t="inlineStr">
        <is>
          <t>Table 10.12</t>
        </is>
      </c>
      <c r="P114" s="6" t="inlineStr"/>
    </row>
    <row r="115" hidden="1" ht="18" customHeight="1" s="27">
      <c r="A115" s="2" t="inlineStr">
        <is>
          <t>dairy</t>
        </is>
      </c>
      <c r="B115" s="21" t="inlineStr">
        <is>
          <t>Intensive</t>
        </is>
      </c>
      <c r="C115" s="22" t="inlineStr">
        <is>
          <t>DINT_calves</t>
        </is>
      </c>
      <c r="D115" s="4" t="inlineStr">
        <is>
          <t>Bo</t>
        </is>
      </c>
      <c r="E115" s="4" t="inlineStr">
        <is>
          <t>Maximum CH4 producing capacity of manure - IPCC 2019 Refinement Vol.4 Ch.10 Table 10.16(a) (Updated). Default for cattle in 'Other regions, low productivity' = 0.13 (matches 2019R Africa/Asia cattle low-productivity). Intensive dairy in NA/W.Europe = 0.24. 2006 Africa default = 0.10. Adjust to match your production system.</t>
        </is>
      </c>
      <c r="F115" s="4" t="inlineStr">
        <is>
          <t>m3 CH4/kg VS</t>
        </is>
      </c>
      <c r="G115" s="11" t="n">
        <v>0.13</v>
      </c>
      <c r="H115" s="11" t="n">
        <v>15</v>
      </c>
      <c r="I115" s="6" t="n"/>
      <c r="J115" s="6" t="n"/>
      <c r="K115" s="3" t="inlineStr">
        <is>
          <t>pert</t>
        </is>
      </c>
      <c r="L115" s="5">
        <f>IF(I115&lt;&gt;"",I115,IF(AND(G115&lt;&gt;"",H115&lt;&gt;""),G115*(1-H115/100),""))</f>
        <v/>
      </c>
      <c r="M115" s="5">
        <f>IF(J115&lt;&gt;"",J115,IF(AND(G115&lt;&gt;"",H115&lt;&gt;""),G115*(1+H115/100),""))</f>
        <v/>
      </c>
      <c r="N115" s="4" t="inlineStr">
        <is>
          <t>coefficient</t>
        </is>
      </c>
      <c r="O115" s="4" t="inlineStr">
        <is>
          <t>Table 10.16</t>
        </is>
      </c>
      <c r="P115" s="6" t="inlineStr"/>
    </row>
    <row r="116" hidden="1" ht="18" customHeight="1" s="27">
      <c r="A116" s="2" t="inlineStr">
        <is>
          <t>dairy</t>
        </is>
      </c>
      <c r="B116" s="21" t="inlineStr">
        <is>
          <t>Intensive</t>
        </is>
      </c>
      <c r="C116" s="22" t="inlineStr">
        <is>
          <t>DINT_calves</t>
        </is>
      </c>
      <c r="D116" s="4" t="inlineStr">
        <is>
          <t>ASH</t>
        </is>
      </c>
      <c r="E116" s="4" t="inlineStr">
        <is>
          <t>Ash content of manure — IPCC default 0.08 (Eq 10.24 footnote)</t>
        </is>
      </c>
      <c r="F116" s="4" t="inlineStr">
        <is>
          <t>fraction</t>
        </is>
      </c>
      <c r="G116" s="11" t="n">
        <v>0.08</v>
      </c>
      <c r="H116" s="11" t="n">
        <v>10</v>
      </c>
      <c r="I116" s="6" t="n"/>
      <c r="J116" s="6" t="n"/>
      <c r="K116" s="3" t="inlineStr">
        <is>
          <t>tnorm_0_1</t>
        </is>
      </c>
      <c r="L116" s="5">
        <f>IF(I116&lt;&gt;"",I116,IF(AND(G116&lt;&gt;"",H116&lt;&gt;""),G116*(1-H116/100),""))</f>
        <v/>
      </c>
      <c r="M116" s="5">
        <f>IF(J116&lt;&gt;"",J116,IF(AND(G116&lt;&gt;"",H116&lt;&gt;""),G116*(1+H116/100),""))</f>
        <v/>
      </c>
      <c r="N116" s="4" t="inlineStr">
        <is>
          <t>coefficient</t>
        </is>
      </c>
      <c r="O116" s="4" t="inlineStr">
        <is>
          <t>Eq 10.24</t>
        </is>
      </c>
      <c r="P116" s="6" t="inlineStr"/>
    </row>
    <row r="117" hidden="1" ht="18" customHeight="1" s="27">
      <c r="A117" s="2" t="inlineStr">
        <is>
          <t>dairy</t>
        </is>
      </c>
      <c r="B117" s="21" t="inlineStr">
        <is>
          <t>Intensive</t>
        </is>
      </c>
      <c r="C117" s="22" t="inlineStr">
        <is>
          <t>DINT_calves</t>
        </is>
      </c>
      <c r="D117" s="4" t="inlineStr">
        <is>
          <t>UE</t>
        </is>
      </c>
      <c r="E117" s="4" t="inlineStr">
        <is>
          <t>Urinary energy as fraction of gross energy — IPCC default 0.04 (Eq 10.24 footnote)</t>
        </is>
      </c>
      <c r="F117" s="4" t="inlineStr">
        <is>
          <t>fraction</t>
        </is>
      </c>
      <c r="G117" s="11" t="n">
        <v>0.04</v>
      </c>
      <c r="H117" s="11" t="n">
        <v>0</v>
      </c>
      <c r="I117" s="6" t="n"/>
      <c r="J117" s="6" t="n"/>
      <c r="K117" s="3" t="inlineStr">
        <is>
          <t>pert</t>
        </is>
      </c>
      <c r="L117" s="5">
        <f>IF(I117&lt;&gt;"",I117,IF(AND(G117&lt;&gt;"",H117&lt;&gt;""),G117*(1-H117/100),""))</f>
        <v/>
      </c>
      <c r="M117" s="5">
        <f>IF(J117&lt;&gt;"",J117,IF(AND(G117&lt;&gt;"",H117&lt;&gt;""),G117*(1+H117/100),""))</f>
        <v/>
      </c>
      <c r="N117" s="4" t="inlineStr">
        <is>
          <t>coefficient</t>
        </is>
      </c>
      <c r="O117" s="4" t="inlineStr">
        <is>
          <t>Eq 10.24</t>
        </is>
      </c>
      <c r="P117" s="6" t="inlineStr"/>
    </row>
    <row r="118" hidden="1" ht="18" customHeight="1" s="27">
      <c r="A118" s="2" t="inlineStr">
        <is>
          <t>dairy</t>
        </is>
      </c>
      <c r="B118" s="21" t="inlineStr">
        <is>
          <t>Intensive</t>
        </is>
      </c>
      <c r="C118" s="22" t="inlineStr">
        <is>
          <t>DINT_calves</t>
        </is>
      </c>
      <c r="D118" s="4" t="inlineStr">
        <is>
          <t>EF3_PRP</t>
        </is>
      </c>
      <c r="E118" s="4" t="inlineStr">
        <is>
          <t>Direct N2O EF for dung/urine on pasture/range/paddock - IPCC Vol.4 Ch.11 Table 11.1. 2006 cattle/poultry/pigs = 0.02. 2019R EF3_PRP,CPP for cattle/poultry/pigs: aggregated = 0.004 (range 0.000-0.014); wet climate = 0.006 (0.000-0.027); dry climate = 0.002 (0.000-0.007).</t>
        </is>
      </c>
      <c r="F118" s="4" t="inlineStr">
        <is>
          <t>kg N2O-N/kg N</t>
        </is>
      </c>
      <c r="G118" s="11" t="n">
        <v>0.004</v>
      </c>
      <c r="H118" s="11" t="n"/>
      <c r="I118" s="6" t="n">
        <v>0</v>
      </c>
      <c r="J118" s="6" t="n">
        <v>0.014</v>
      </c>
      <c r="K118" s="3" t="inlineStr">
        <is>
          <t>pert</t>
        </is>
      </c>
      <c r="L118" s="5">
        <f>IF(I118&lt;&gt;"",I118,IF(AND(G118&lt;&gt;"",H118&lt;&gt;""),G118*(1-H118/100),""))</f>
        <v/>
      </c>
      <c r="M118" s="5">
        <f>IF(J118&lt;&gt;"",J118,IF(AND(G118&lt;&gt;"",H118&lt;&gt;""),G118*(1+H118/100),""))</f>
        <v/>
      </c>
      <c r="N118" s="4" t="inlineStr">
        <is>
          <t>coefficient</t>
        </is>
      </c>
      <c r="O118" s="4" t="inlineStr">
        <is>
          <t>Table 11.1</t>
        </is>
      </c>
      <c r="P118" s="6" t="inlineStr"/>
    </row>
    <row r="119" hidden="1" ht="18" customHeight="1" s="27">
      <c r="A119" s="2" t="inlineStr">
        <is>
          <t>dairy</t>
        </is>
      </c>
      <c r="B119" s="21" t="inlineStr">
        <is>
          <t>Intensive</t>
        </is>
      </c>
      <c r="C119" s="22" t="inlineStr">
        <is>
          <t>DINT_calves</t>
        </is>
      </c>
      <c r="D119" s="4" t="inlineStr">
        <is>
          <t>Frac_GASMS</t>
        </is>
      </c>
      <c r="E119" s="4" t="inlineStr">
        <is>
          <t>Fraction of managed manure N volatilised as NH3/NOx - per IPCC 2019 Refinement Vol.4 Ch.10 Table 10.22 (per manure management system). On the soil side this same fraction is FracGASM in Ch.11 Table 11.3: 2019R = 0.21 (range 0.00-0.31); 2006 = 0.20.</t>
        </is>
      </c>
      <c r="F119" s="4" t="inlineStr">
        <is>
          <t>fraction</t>
        </is>
      </c>
      <c r="G119" s="11" t="n">
        <v>0.21</v>
      </c>
      <c r="H119" s="11" t="n">
        <v>40</v>
      </c>
      <c r="I119" s="6" t="n">
        <v>0</v>
      </c>
      <c r="J119" s="6" t="n">
        <v>0.31</v>
      </c>
      <c r="K119" s="3" t="inlineStr">
        <is>
          <t>pert</t>
        </is>
      </c>
      <c r="L119" s="5">
        <f>IF(I119&lt;&gt;"",I119,IF(AND(G119&lt;&gt;"",H119&lt;&gt;""),G119*(1-H119/100),""))</f>
        <v/>
      </c>
      <c r="M119" s="5">
        <f>IF(J119&lt;&gt;"",J119,IF(AND(G119&lt;&gt;"",H119&lt;&gt;""),G119*(1+H119/100),""))</f>
        <v/>
      </c>
      <c r="N119" s="4" t="inlineStr">
        <is>
          <t>coefficient</t>
        </is>
      </c>
      <c r="O119" s="4" t="inlineStr">
        <is>
          <t>Table 10.22</t>
        </is>
      </c>
      <c r="P119" s="6" t="inlineStr"/>
    </row>
    <row r="120" hidden="1" ht="18" customHeight="1" s="27">
      <c r="A120" s="2" t="inlineStr">
        <is>
          <t>dairy</t>
        </is>
      </c>
      <c r="B120" s="21" t="inlineStr">
        <is>
          <t>Intensive</t>
        </is>
      </c>
      <c r="C120" s="22" t="inlineStr">
        <is>
          <t>DINT_calves</t>
        </is>
      </c>
      <c r="D120" s="4" t="inlineStr">
        <is>
          <t>EF4</t>
        </is>
      </c>
      <c r="E120" s="4" t="inlineStr">
        <is>
          <t>N2O EF for atmospheric N deposition - IPCC Vol.4 Ch.11 Table 11.3. 2006 = 0.010. 2019 Refinement: aggregated default = 0.010 (range 0.002-0.018); wet climate = 0.014 (0.011-0.017); dry climate = 0.005 (0.000-0.011). Use 0.014 only when classifying as wet climate.</t>
        </is>
      </c>
      <c r="F120" s="4" t="inlineStr">
        <is>
          <t>kg N2O-N/kg N</t>
        </is>
      </c>
      <c r="G120" s="11" t="n">
        <v>0.01</v>
      </c>
      <c r="H120" s="11" t="n"/>
      <c r="I120" s="6" t="n">
        <v>0.002</v>
      </c>
      <c r="J120" s="6" t="n">
        <v>0.018</v>
      </c>
      <c r="K120" s="3" t="inlineStr">
        <is>
          <t>pert</t>
        </is>
      </c>
      <c r="L120" s="5">
        <f>IF(I120&lt;&gt;"",I120,IF(AND(G120&lt;&gt;"",H120&lt;&gt;""),G120*(1-H120/100),""))</f>
        <v/>
      </c>
      <c r="M120" s="5">
        <f>IF(J120&lt;&gt;"",J120,IF(AND(G120&lt;&gt;"",H120&lt;&gt;""),G120*(1+H120/100),""))</f>
        <v/>
      </c>
      <c r="N120" s="4" t="inlineStr">
        <is>
          <t>coefficient</t>
        </is>
      </c>
      <c r="O120" s="4" t="inlineStr">
        <is>
          <t>Table 11.3</t>
        </is>
      </c>
      <c r="P120" s="6" t="inlineStr"/>
    </row>
    <row r="121" hidden="1" ht="18" customHeight="1" s="27">
      <c r="A121" s="2" t="inlineStr">
        <is>
          <t>dairy</t>
        </is>
      </c>
      <c r="B121" s="21" t="inlineStr">
        <is>
          <t>Intensive</t>
        </is>
      </c>
      <c r="C121" s="22" t="inlineStr">
        <is>
          <t>DINT_calves</t>
        </is>
      </c>
      <c r="D121" s="4" t="inlineStr">
        <is>
          <t>EF5</t>
        </is>
      </c>
      <c r="E121" s="4" t="inlineStr">
        <is>
          <t>N2O EF for N leaching/runoff - IPCC Vol.4 Ch.11 Table 11.3. 2006 default = 0.0075; 2019 Refinement updated to 0.011 kg N2O-N/kg N leached/runoff (range 0.000-0.020). No climate disaggregation.</t>
        </is>
      </c>
      <c r="F121" s="4" t="inlineStr">
        <is>
          <t>kg N2O-N/kg N</t>
        </is>
      </c>
      <c r="G121" s="11" t="n">
        <v>0.011</v>
      </c>
      <c r="H121" s="11" t="n"/>
      <c r="I121" s="6" t="n">
        <v>0</v>
      </c>
      <c r="J121" s="6" t="n">
        <v>0.02</v>
      </c>
      <c r="K121" s="3" t="inlineStr">
        <is>
          <t>pert</t>
        </is>
      </c>
      <c r="L121" s="5">
        <f>IF(I121&lt;&gt;"",I121,IF(AND(G121&lt;&gt;"",H121&lt;&gt;""),G121*(1-H121/100),""))</f>
        <v/>
      </c>
      <c r="M121" s="5">
        <f>IF(J121&lt;&gt;"",J121,IF(AND(G121&lt;&gt;"",H121&lt;&gt;""),G121*(1+H121/100),""))</f>
        <v/>
      </c>
      <c r="N121" s="4" t="inlineStr">
        <is>
          <t>coefficient</t>
        </is>
      </c>
      <c r="O121" s="4" t="inlineStr">
        <is>
          <t>Table 11.3</t>
        </is>
      </c>
      <c r="P121" s="6" t="inlineStr"/>
    </row>
    <row r="122" hidden="1" ht="18" customHeight="1" s="27">
      <c r="A122" s="2" t="inlineStr">
        <is>
          <t>dairy</t>
        </is>
      </c>
      <c r="B122" s="21" t="inlineStr">
        <is>
          <t>Intensive</t>
        </is>
      </c>
      <c r="C122" s="22" t="inlineStr">
        <is>
          <t>DINT_calves</t>
        </is>
      </c>
      <c r="D122" s="4" t="inlineStr">
        <is>
          <t>Frac_LEACH_H</t>
        </is>
      </c>
      <c r="E122" s="4" t="inlineStr">
        <is>
          <t>Fraction of managed N lost through leaching (managed-storage side) - IPCC 2019 Refinement Vol.4 Ch.10 Table 10.23. Distinct from the pasture-side Frac_LEACH_PRP (FracLEACH-(H) in Ch.11 Table 11.3).</t>
        </is>
      </c>
      <c r="F122" s="4" t="inlineStr">
        <is>
          <t>fraction</t>
        </is>
      </c>
      <c r="G122" s="11" t="n">
        <v>0.02</v>
      </c>
      <c r="H122" s="11" t="n"/>
      <c r="I122" s="6" t="n">
        <v>0.006</v>
      </c>
      <c r="J122" s="6" t="n">
        <v>0.054</v>
      </c>
      <c r="K122" s="3" t="inlineStr">
        <is>
          <t>lognormal</t>
        </is>
      </c>
      <c r="L122" s="5">
        <f>IF(I122&lt;&gt;"",I122,IF(AND(G122&lt;&gt;"",H122&lt;&gt;""),G122*(1-H122/100),""))</f>
        <v/>
      </c>
      <c r="M122" s="5">
        <f>IF(J122&lt;&gt;"",J122,IF(AND(G122&lt;&gt;"",H122&lt;&gt;""),G122*(1+H122/100),""))</f>
        <v/>
      </c>
      <c r="N122" s="4" t="inlineStr">
        <is>
          <t>coefficient</t>
        </is>
      </c>
      <c r="O122" s="4" t="inlineStr">
        <is>
          <t>Table 11.3</t>
        </is>
      </c>
      <c r="P122" s="6" t="inlineStr"/>
    </row>
    <row r="123" hidden="1" ht="18" customHeight="1" s="27">
      <c r="A123" s="2" t="inlineStr">
        <is>
          <t>dairy</t>
        </is>
      </c>
      <c r="B123" s="21" t="inlineStr">
        <is>
          <t>Intensive</t>
        </is>
      </c>
      <c r="C123" s="22" t="inlineStr">
        <is>
          <t>DINT_calves</t>
        </is>
      </c>
      <c r="D123" s="4" t="inlineStr">
        <is>
          <t>MilkPR</t>
        </is>
      </c>
      <c r="E123" s="4" t="inlineStr">
        <is>
          <t>Protein content of milk (%) - feeds the milk-N term in IPCC Vol.4 Ch.10 Eq 10.33 (N retention for cattle, where the 6.38 milk-protein-to-N conversion factor is defined).</t>
        </is>
      </c>
      <c r="F123" s="4" t="inlineStr">
        <is>
          <t>%</t>
        </is>
      </c>
      <c r="G123" s="2" t="n">
        <v>3.42</v>
      </c>
      <c r="H123" s="2" t="n">
        <v>10</v>
      </c>
      <c r="I123" s="6" t="n"/>
      <c r="J123" s="6" t="n"/>
      <c r="K123" s="3" t="inlineStr">
        <is>
          <t>normal</t>
        </is>
      </c>
      <c r="L123" s="5">
        <f>IF(I123&lt;&gt;"",I123,IF(AND(G123&lt;&gt;"",H123&lt;&gt;""),G123*(1-H123/100),""))</f>
        <v/>
      </c>
      <c r="M123" s="5">
        <f>IF(J123&lt;&gt;"",J123,IF(AND(G123&lt;&gt;"",H123&lt;&gt;""),G123*(1+H123/100),""))</f>
        <v/>
      </c>
      <c r="N123" s="4" t="inlineStr">
        <is>
          <t>coefficient</t>
        </is>
      </c>
      <c r="O123" s="4" t="inlineStr">
        <is>
          <t>Table 10A.2</t>
        </is>
      </c>
      <c r="P123" s="6" t="inlineStr"/>
    </row>
    <row r="124" hidden="1" s="27">
      <c r="A124" s="2" t="n"/>
      <c r="B124" s="2" t="n"/>
      <c r="C124" s="6" t="n"/>
      <c r="G124" s="2" t="n"/>
      <c r="H124" s="2" t="n"/>
      <c r="I124" s="6" t="n"/>
      <c r="J124" s="6" t="n"/>
      <c r="K124" s="3" t="n"/>
      <c r="L124" s="5">
        <f>IF(I124&lt;&gt;"",I124,IF(AND(G124&lt;&gt;"",H124&lt;&gt;""),G124*(1-H124/100),""))</f>
        <v/>
      </c>
      <c r="M124" s="5">
        <f>IF(J124&lt;&gt;"",J124,IF(AND(G124&lt;&gt;"",H124&lt;&gt;""),G124*(1+H124/100),""))</f>
        <v/>
      </c>
    </row>
    <row r="125" hidden="1" s="27">
      <c r="A125" s="2" t="n"/>
      <c r="B125" s="2" t="n"/>
      <c r="C125" s="6" t="n"/>
      <c r="G125" s="2" t="n"/>
      <c r="H125" s="2" t="n"/>
      <c r="I125" s="6" t="n"/>
      <c r="J125" s="6" t="n"/>
      <c r="K125" s="3" t="n"/>
      <c r="L125" s="5">
        <f>IF(I125&lt;&gt;"",I125,IF(AND(G125&lt;&gt;"",H125&lt;&gt;""),G125*(1-H125/100),""))</f>
        <v/>
      </c>
      <c r="M125" s="5">
        <f>IF(J125&lt;&gt;"",J125,IF(AND(G125&lt;&gt;"",H125&lt;&gt;""),G125*(1+H125/100),""))</f>
        <v/>
      </c>
    </row>
    <row r="126" hidden="1" s="27">
      <c r="A126" s="2" t="n"/>
      <c r="B126" s="2" t="n"/>
      <c r="C126" s="6" t="n"/>
      <c r="G126" s="2" t="n"/>
      <c r="H126" s="2" t="n"/>
      <c r="I126" s="6" t="n"/>
      <c r="J126" s="6" t="n"/>
      <c r="K126" s="3" t="n"/>
      <c r="L126" s="5">
        <f>IF(I126&lt;&gt;"",I126,IF(AND(G126&lt;&gt;"",H126&lt;&gt;""),G126*(1-H126/100),""))</f>
        <v/>
      </c>
      <c r="M126" s="5">
        <f>IF(J126&lt;&gt;"",J126,IF(AND(G126&lt;&gt;"",H126&lt;&gt;""),G126*(1+H126/100),""))</f>
        <v/>
      </c>
    </row>
    <row r="127" hidden="1" s="27">
      <c r="A127" s="2" t="n"/>
      <c r="B127" s="2" t="n"/>
      <c r="C127" s="6" t="n"/>
      <c r="G127" s="2" t="n"/>
      <c r="H127" s="2" t="n"/>
      <c r="I127" s="6" t="n"/>
      <c r="J127" s="6" t="n"/>
      <c r="K127" s="3" t="n"/>
      <c r="L127" s="5">
        <f>IF(I127&lt;&gt;"",I127,IF(AND(G127&lt;&gt;"",H127&lt;&gt;""),G127*(1-H127/100),""))</f>
        <v/>
      </c>
      <c r="M127" s="5">
        <f>IF(J127&lt;&gt;"",J127,IF(AND(G127&lt;&gt;"",H127&lt;&gt;""),G127*(1+H127/100),""))</f>
        <v/>
      </c>
    </row>
    <row r="128" hidden="1" s="27">
      <c r="A128" s="2" t="n"/>
      <c r="B128" s="2" t="n"/>
      <c r="C128" s="6" t="n"/>
      <c r="G128" s="2" t="n"/>
      <c r="H128" s="2" t="n"/>
      <c r="I128" s="6" t="n"/>
      <c r="J128" s="6" t="n"/>
      <c r="K128" s="3" t="n"/>
      <c r="L128" s="5">
        <f>IF(I128&lt;&gt;"",I128,IF(AND(G128&lt;&gt;"",H128&lt;&gt;""),G128*(1-H128/100),""))</f>
        <v/>
      </c>
      <c r="M128" s="5">
        <f>IF(J128&lt;&gt;"",J128,IF(AND(G128&lt;&gt;"",H128&lt;&gt;""),G128*(1+H128/100),""))</f>
        <v/>
      </c>
    </row>
    <row r="129" hidden="1" s="27">
      <c r="A129" s="2" t="n"/>
      <c r="B129" s="2" t="n"/>
      <c r="C129" s="6" t="n"/>
      <c r="G129" s="2" t="n"/>
      <c r="H129" s="2" t="n"/>
      <c r="I129" s="6" t="n"/>
      <c r="J129" s="6" t="n"/>
      <c r="K129" s="3" t="n"/>
      <c r="L129" s="5">
        <f>IF(I129&lt;&gt;"",I129,IF(AND(G129&lt;&gt;"",H129&lt;&gt;""),G129*(1-H129/100),""))</f>
        <v/>
      </c>
      <c r="M129" s="5">
        <f>IF(J129&lt;&gt;"",J129,IF(AND(G129&lt;&gt;"",H129&lt;&gt;""),G129*(1+H129/100),""))</f>
        <v/>
      </c>
    </row>
    <row r="130" hidden="1" s="27">
      <c r="A130" s="2" t="n"/>
      <c r="B130" s="2" t="n"/>
      <c r="C130" s="6" t="n"/>
      <c r="G130" s="2" t="n"/>
      <c r="H130" s="2" t="n"/>
      <c r="I130" s="6" t="n"/>
      <c r="J130" s="6" t="n"/>
      <c r="K130" s="3" t="n"/>
      <c r="L130" s="5">
        <f>IF(I130&lt;&gt;"",I130,IF(AND(G130&lt;&gt;"",H130&lt;&gt;""),G130*(1-H130/100),""))</f>
        <v/>
      </c>
      <c r="M130" s="5">
        <f>IF(J130&lt;&gt;"",J130,IF(AND(G130&lt;&gt;"",H130&lt;&gt;""),G130*(1+H130/100),""))</f>
        <v/>
      </c>
    </row>
    <row r="131" hidden="1" s="27">
      <c r="A131" s="2" t="n"/>
      <c r="B131" s="2" t="n"/>
      <c r="C131" s="6" t="n"/>
      <c r="G131" s="2" t="n"/>
      <c r="H131" s="2" t="n"/>
      <c r="I131" s="6" t="n"/>
      <c r="J131" s="6" t="n"/>
      <c r="K131" s="3" t="n"/>
      <c r="L131" s="5">
        <f>IF(I131&lt;&gt;"",I131,IF(AND(G131&lt;&gt;"",H131&lt;&gt;""),G131*(1-H131/100),""))</f>
        <v/>
      </c>
      <c r="M131" s="5">
        <f>IF(J131&lt;&gt;"",J131,IF(AND(G131&lt;&gt;"",H131&lt;&gt;""),G131*(1+H131/100),""))</f>
        <v/>
      </c>
    </row>
    <row r="132" hidden="1" s="27">
      <c r="A132" s="2" t="n"/>
      <c r="B132" s="2" t="n"/>
      <c r="C132" s="6" t="n"/>
      <c r="G132" s="2" t="n"/>
      <c r="H132" s="2" t="n"/>
      <c r="I132" s="6" t="n"/>
      <c r="J132" s="6" t="n"/>
      <c r="K132" s="3" t="n"/>
      <c r="L132" s="5">
        <f>IF(I132&lt;&gt;"",I132,IF(AND(G132&lt;&gt;"",H132&lt;&gt;""),G132*(1-H132/100),""))</f>
        <v/>
      </c>
      <c r="M132" s="5">
        <f>IF(J132&lt;&gt;"",J132,IF(AND(G132&lt;&gt;"",H132&lt;&gt;""),G132*(1+H132/100),""))</f>
        <v/>
      </c>
    </row>
    <row r="133" hidden="1" s="27">
      <c r="A133" s="2" t="n"/>
      <c r="B133" s="2" t="n"/>
      <c r="C133" s="6" t="n"/>
      <c r="G133" s="2" t="n"/>
      <c r="H133" s="2" t="n"/>
      <c r="I133" s="6" t="n"/>
      <c r="J133" s="6" t="n"/>
      <c r="K133" s="3" t="n"/>
      <c r="L133" s="5">
        <f>IF(I133&lt;&gt;"",I133,IF(AND(G133&lt;&gt;"",H133&lt;&gt;""),G133*(1-H133/100),""))</f>
        <v/>
      </c>
      <c r="M133" s="5">
        <f>IF(J133&lt;&gt;"",J133,IF(AND(G133&lt;&gt;"",H133&lt;&gt;""),G133*(1+H133/100),""))</f>
        <v/>
      </c>
    </row>
    <row r="134" hidden="1" s="27">
      <c r="A134" s="2" t="n"/>
      <c r="B134" s="2" t="n"/>
      <c r="C134" s="6" t="n"/>
      <c r="G134" s="2" t="n"/>
      <c r="H134" s="2" t="n"/>
      <c r="I134" s="6" t="n"/>
      <c r="J134" s="6" t="n"/>
      <c r="K134" s="3" t="n"/>
      <c r="L134" s="5">
        <f>IF(I134&lt;&gt;"",I134,IF(AND(G134&lt;&gt;"",H134&lt;&gt;""),G134*(1-H134/100),""))</f>
        <v/>
      </c>
      <c r="M134" s="5">
        <f>IF(J134&lt;&gt;"",J134,IF(AND(G134&lt;&gt;"",H134&lt;&gt;""),G134*(1+H134/100),""))</f>
        <v/>
      </c>
    </row>
    <row r="135" hidden="1" s="27">
      <c r="A135" s="2" t="n"/>
      <c r="B135" s="2" t="n"/>
      <c r="C135" s="6" t="n"/>
      <c r="G135" s="2" t="n"/>
      <c r="H135" s="2" t="n"/>
      <c r="I135" s="6" t="n"/>
      <c r="J135" s="6" t="n"/>
      <c r="K135" s="3" t="n"/>
      <c r="L135" s="5">
        <f>IF(I135&lt;&gt;"",I135,IF(AND(G135&lt;&gt;"",H135&lt;&gt;""),G135*(1-H135/100),""))</f>
        <v/>
      </c>
      <c r="M135" s="5">
        <f>IF(J135&lt;&gt;"",J135,IF(AND(G135&lt;&gt;"",H135&lt;&gt;""),G135*(1+H135/100),""))</f>
        <v/>
      </c>
    </row>
    <row r="136" hidden="1" s="27">
      <c r="A136" s="2" t="n"/>
      <c r="B136" s="2" t="n"/>
      <c r="C136" s="6" t="n"/>
      <c r="G136" s="2" t="n"/>
      <c r="H136" s="2" t="n"/>
      <c r="I136" s="6" t="n"/>
      <c r="J136" s="6" t="n"/>
      <c r="K136" s="3" t="n"/>
      <c r="L136" s="5">
        <f>IF(I136&lt;&gt;"",I136,IF(AND(G136&lt;&gt;"",H136&lt;&gt;""),G136*(1-H136/100),""))</f>
        <v/>
      </c>
      <c r="M136" s="5">
        <f>IF(J136&lt;&gt;"",J136,IF(AND(G136&lt;&gt;"",H136&lt;&gt;""),G136*(1+H136/100),""))</f>
        <v/>
      </c>
    </row>
    <row r="137" hidden="1" s="27">
      <c r="A137" s="2" t="n"/>
      <c r="B137" s="2" t="n"/>
      <c r="C137" s="6" t="n"/>
      <c r="G137" s="2" t="n"/>
      <c r="H137" s="2" t="n"/>
      <c r="I137" s="6" t="n"/>
      <c r="J137" s="6" t="n"/>
      <c r="K137" s="3" t="n"/>
      <c r="L137" s="5">
        <f>IF(I137&lt;&gt;"",I137,IF(AND(G137&lt;&gt;"",H137&lt;&gt;""),G137*(1-H137/100),""))</f>
        <v/>
      </c>
      <c r="M137" s="5">
        <f>IF(J137&lt;&gt;"",J137,IF(AND(G137&lt;&gt;"",H137&lt;&gt;""),G137*(1+H137/100),""))</f>
        <v/>
      </c>
    </row>
    <row r="138" hidden="1" s="27">
      <c r="A138" s="2" t="n"/>
      <c r="B138" s="2" t="n"/>
      <c r="C138" s="6" t="n"/>
      <c r="G138" s="2" t="n"/>
      <c r="H138" s="2" t="n"/>
      <c r="I138" s="6" t="n"/>
      <c r="J138" s="6" t="n"/>
      <c r="K138" s="3" t="n"/>
      <c r="L138" s="5">
        <f>IF(I138&lt;&gt;"",I138,IF(AND(G138&lt;&gt;"",H138&lt;&gt;""),G138*(1-H138/100),""))</f>
        <v/>
      </c>
      <c r="M138" s="5">
        <f>IF(J138&lt;&gt;"",J138,IF(AND(G138&lt;&gt;"",H138&lt;&gt;""),G138*(1+H138/100),""))</f>
        <v/>
      </c>
    </row>
    <row r="139" hidden="1" s="27">
      <c r="A139" s="2" t="n"/>
      <c r="B139" s="2" t="n"/>
      <c r="C139" s="6" t="n"/>
      <c r="G139" s="2" t="n"/>
      <c r="H139" s="2" t="n"/>
      <c r="I139" s="6" t="n"/>
      <c r="J139" s="6" t="n"/>
      <c r="K139" s="3" t="n"/>
      <c r="L139" s="5">
        <f>IF(I139&lt;&gt;"",I139,IF(AND(G139&lt;&gt;"",H139&lt;&gt;""),G139*(1-H139/100),""))</f>
        <v/>
      </c>
      <c r="M139" s="5">
        <f>IF(J139&lt;&gt;"",J139,IF(AND(G139&lt;&gt;"",H139&lt;&gt;""),G139*(1+H139/100),""))</f>
        <v/>
      </c>
    </row>
    <row r="140" hidden="1" s="27">
      <c r="A140" s="2" t="n"/>
      <c r="B140" s="2" t="n"/>
      <c r="C140" s="6" t="n"/>
      <c r="G140" s="2" t="n"/>
      <c r="H140" s="2" t="n"/>
      <c r="I140" s="6" t="n"/>
      <c r="J140" s="6" t="n"/>
      <c r="K140" s="3" t="n"/>
      <c r="L140" s="5">
        <f>IF(I140&lt;&gt;"",I140,IF(AND(G140&lt;&gt;"",H140&lt;&gt;""),G140*(1-H140/100),""))</f>
        <v/>
      </c>
      <c r="M140" s="5">
        <f>IF(J140&lt;&gt;"",J140,IF(AND(G140&lt;&gt;"",H140&lt;&gt;""),G140*(1+H140/100),""))</f>
        <v/>
      </c>
    </row>
    <row r="141" hidden="1" s="27">
      <c r="A141" s="2" t="n"/>
      <c r="B141" s="2" t="n"/>
      <c r="C141" s="6" t="n"/>
      <c r="G141" s="2" t="n"/>
      <c r="H141" s="2" t="n"/>
      <c r="I141" s="6" t="n"/>
      <c r="J141" s="6" t="n"/>
      <c r="K141" s="3" t="n"/>
      <c r="L141" s="5">
        <f>IF(I141&lt;&gt;"",I141,IF(AND(G141&lt;&gt;"",H141&lt;&gt;""),G141*(1-H141/100),""))</f>
        <v/>
      </c>
      <c r="M141" s="5">
        <f>IF(J141&lt;&gt;"",J141,IF(AND(G141&lt;&gt;"",H141&lt;&gt;""),G141*(1+H141/100),""))</f>
        <v/>
      </c>
    </row>
    <row r="142" hidden="1" s="27">
      <c r="A142" s="2" t="n"/>
      <c r="B142" s="2" t="n"/>
      <c r="C142" s="6" t="n"/>
      <c r="G142" s="2" t="n"/>
      <c r="H142" s="2" t="n"/>
      <c r="I142" s="6" t="n"/>
      <c r="J142" s="6" t="n"/>
      <c r="K142" s="3" t="n"/>
      <c r="L142" s="5">
        <f>IF(I142&lt;&gt;"",I142,IF(AND(G142&lt;&gt;"",H142&lt;&gt;""),G142*(1-H142/100),""))</f>
        <v/>
      </c>
      <c r="M142" s="5">
        <f>IF(J142&lt;&gt;"",J142,IF(AND(G142&lt;&gt;"",H142&lt;&gt;""),G142*(1+H142/100),""))</f>
        <v/>
      </c>
    </row>
    <row r="143" hidden="1" s="27">
      <c r="A143" s="2" t="n"/>
      <c r="B143" s="2" t="n"/>
      <c r="C143" s="6" t="n"/>
      <c r="G143" s="2" t="n"/>
      <c r="H143" s="2" t="n"/>
      <c r="I143" s="6" t="n"/>
      <c r="J143" s="6" t="n"/>
      <c r="K143" s="3" t="n"/>
      <c r="L143" s="5">
        <f>IF(I143&lt;&gt;"",I143,IF(AND(G143&lt;&gt;"",H143&lt;&gt;""),G143*(1-H143/100),""))</f>
        <v/>
      </c>
      <c r="M143" s="5">
        <f>IF(J143&lt;&gt;"",J143,IF(AND(G143&lt;&gt;"",H143&lt;&gt;""),G143*(1+H143/100),""))</f>
        <v/>
      </c>
    </row>
    <row r="144" hidden="1" s="27">
      <c r="A144" s="2" t="n"/>
      <c r="B144" s="2" t="n"/>
      <c r="C144" s="6" t="n"/>
      <c r="G144" s="2" t="n"/>
      <c r="H144" s="2" t="n"/>
      <c r="I144" s="6" t="n"/>
      <c r="J144" s="6" t="n"/>
      <c r="K144" s="3" t="n"/>
      <c r="L144" s="5">
        <f>IF(I144&lt;&gt;"",I144,IF(AND(G144&lt;&gt;"",H144&lt;&gt;""),G144*(1-H144/100),""))</f>
        <v/>
      </c>
      <c r="M144" s="5">
        <f>IF(J144&lt;&gt;"",J144,IF(AND(G144&lt;&gt;"",H144&lt;&gt;""),G144*(1+H144/100),""))</f>
        <v/>
      </c>
    </row>
    <row r="145" hidden="1" s="27">
      <c r="A145" s="2" t="n"/>
      <c r="B145" s="2" t="n"/>
      <c r="C145" s="6" t="n"/>
      <c r="G145" s="2" t="n"/>
      <c r="H145" s="2" t="n"/>
      <c r="I145" s="6" t="n"/>
      <c r="J145" s="6" t="n"/>
      <c r="K145" s="3" t="n"/>
      <c r="L145" s="5">
        <f>IF(I145&lt;&gt;"",I145,IF(AND(G145&lt;&gt;"",H145&lt;&gt;""),G145*(1-H145/100),""))</f>
        <v/>
      </c>
      <c r="M145" s="5">
        <f>IF(J145&lt;&gt;"",J145,IF(AND(G145&lt;&gt;"",H145&lt;&gt;""),G145*(1+H145/100),""))</f>
        <v/>
      </c>
    </row>
    <row r="146" hidden="1" s="27">
      <c r="A146" s="2" t="n"/>
      <c r="B146" s="2" t="n"/>
      <c r="C146" s="6" t="n"/>
      <c r="G146" s="2" t="n"/>
      <c r="H146" s="2" t="n"/>
      <c r="I146" s="6" t="n"/>
      <c r="J146" s="6" t="n"/>
      <c r="K146" s="3" t="n"/>
      <c r="L146" s="5">
        <f>IF(I146&lt;&gt;"",I146,IF(AND(G146&lt;&gt;"",H146&lt;&gt;""),G146*(1-H146/100),""))</f>
        <v/>
      </c>
      <c r="M146" s="5">
        <f>IF(J146&lt;&gt;"",J146,IF(AND(G146&lt;&gt;"",H146&lt;&gt;""),G146*(1+H146/100),""))</f>
        <v/>
      </c>
    </row>
    <row r="147" hidden="1" s="27">
      <c r="A147" s="2" t="n"/>
      <c r="B147" s="2" t="n"/>
      <c r="C147" s="6" t="n"/>
      <c r="G147" s="2" t="n"/>
      <c r="H147" s="2" t="n"/>
      <c r="I147" s="6" t="n"/>
      <c r="J147" s="6" t="n"/>
      <c r="K147" s="3" t="n"/>
      <c r="L147" s="5">
        <f>IF(I147&lt;&gt;"",I147,IF(AND(G147&lt;&gt;"",H147&lt;&gt;""),G147*(1-H147/100),""))</f>
        <v/>
      </c>
      <c r="M147" s="5">
        <f>IF(J147&lt;&gt;"",J147,IF(AND(G147&lt;&gt;"",H147&lt;&gt;""),G147*(1+H147/100),""))</f>
        <v/>
      </c>
    </row>
    <row r="148" hidden="1" s="27">
      <c r="A148" s="2" t="n"/>
      <c r="B148" s="2" t="n"/>
      <c r="C148" s="6" t="n"/>
      <c r="G148" s="2" t="n"/>
      <c r="H148" s="2" t="n"/>
      <c r="I148" s="6" t="n"/>
      <c r="J148" s="6" t="n"/>
      <c r="K148" s="3" t="n"/>
      <c r="L148" s="5">
        <f>IF(I148&lt;&gt;"",I148,IF(AND(G148&lt;&gt;"",H148&lt;&gt;""),G148*(1-H148/100),""))</f>
        <v/>
      </c>
      <c r="M148" s="5">
        <f>IF(J148&lt;&gt;"",J148,IF(AND(G148&lt;&gt;"",H148&lt;&gt;""),G148*(1+H148/100),""))</f>
        <v/>
      </c>
    </row>
    <row r="149" hidden="1" s="27">
      <c r="A149" s="2" t="n"/>
      <c r="B149" s="2" t="n"/>
      <c r="C149" s="6" t="n"/>
      <c r="G149" s="2" t="n"/>
      <c r="H149" s="2" t="n"/>
      <c r="I149" s="6" t="n"/>
      <c r="J149" s="6" t="n"/>
      <c r="K149" s="3" t="n"/>
      <c r="L149" s="5">
        <f>IF(I149&lt;&gt;"",I149,IF(AND(G149&lt;&gt;"",H149&lt;&gt;""),G149*(1-H149/100),""))</f>
        <v/>
      </c>
      <c r="M149" s="5">
        <f>IF(J149&lt;&gt;"",J149,IF(AND(G149&lt;&gt;"",H149&lt;&gt;""),G149*(1+H149/100),""))</f>
        <v/>
      </c>
    </row>
    <row r="150" hidden="1" s="27">
      <c r="A150" s="2" t="n"/>
      <c r="B150" s="2" t="n"/>
      <c r="C150" s="6" t="n"/>
      <c r="G150" s="2" t="n"/>
      <c r="H150" s="2" t="n"/>
      <c r="I150" s="6" t="n"/>
      <c r="J150" s="6" t="n"/>
      <c r="K150" s="3" t="n"/>
      <c r="L150" s="5">
        <f>IF(I150&lt;&gt;"",I150,IF(AND(G150&lt;&gt;"",H150&lt;&gt;""),G150*(1-H150/100),""))</f>
        <v/>
      </c>
      <c r="M150" s="5">
        <f>IF(J150&lt;&gt;"",J150,IF(AND(G150&lt;&gt;"",H150&lt;&gt;""),G150*(1+H150/100),""))</f>
        <v/>
      </c>
    </row>
    <row r="151" hidden="1" s="27">
      <c r="A151" s="2" t="n"/>
      <c r="B151" s="2" t="n"/>
      <c r="C151" s="6" t="n"/>
      <c r="G151" s="2" t="n"/>
      <c r="H151" s="2" t="n"/>
      <c r="I151" s="6" t="n"/>
      <c r="J151" s="6" t="n"/>
      <c r="K151" s="3" t="n"/>
      <c r="L151" s="5">
        <f>IF(I151&lt;&gt;"",I151,IF(AND(G151&lt;&gt;"",H151&lt;&gt;""),G151*(1-H151/100),""))</f>
        <v/>
      </c>
      <c r="M151" s="5">
        <f>IF(J151&lt;&gt;"",J151,IF(AND(G151&lt;&gt;"",H151&lt;&gt;""),G151*(1+H151/100),""))</f>
        <v/>
      </c>
    </row>
    <row r="152" hidden="1" s="27">
      <c r="A152" s="2" t="n"/>
      <c r="B152" s="2" t="n"/>
      <c r="C152" s="6" t="n"/>
      <c r="G152" s="2" t="n"/>
      <c r="H152" s="2" t="n"/>
      <c r="I152" s="6" t="n"/>
      <c r="J152" s="6" t="n"/>
      <c r="K152" s="3" t="n"/>
      <c r="L152" s="5">
        <f>IF(I152&lt;&gt;"",I152,IF(AND(G152&lt;&gt;"",H152&lt;&gt;""),G152*(1-H152/100),""))</f>
        <v/>
      </c>
      <c r="M152" s="5">
        <f>IF(J152&lt;&gt;"",J152,IF(AND(G152&lt;&gt;"",H152&lt;&gt;""),G152*(1+H152/100),""))</f>
        <v/>
      </c>
    </row>
    <row r="153" hidden="1" s="27">
      <c r="A153" s="2" t="n"/>
      <c r="B153" s="2" t="n"/>
      <c r="C153" s="6" t="n"/>
      <c r="G153" s="2" t="n"/>
      <c r="H153" s="2" t="n"/>
      <c r="I153" s="6" t="n"/>
      <c r="J153" s="6" t="n"/>
      <c r="K153" s="3" t="n"/>
      <c r="L153" s="5">
        <f>IF(I153&lt;&gt;"",I153,IF(AND(G153&lt;&gt;"",H153&lt;&gt;""),G153*(1-H153/100),""))</f>
        <v/>
      </c>
      <c r="M153" s="5">
        <f>IF(J153&lt;&gt;"",J153,IF(AND(G153&lt;&gt;"",H153&lt;&gt;""),G153*(1+H153/100),""))</f>
        <v/>
      </c>
    </row>
    <row r="154" hidden="1" s="27">
      <c r="A154" s="2" t="n"/>
      <c r="B154" s="2" t="n"/>
      <c r="C154" s="6" t="n"/>
      <c r="G154" s="2" t="n"/>
      <c r="H154" s="2" t="n"/>
      <c r="I154" s="6" t="n"/>
      <c r="J154" s="6" t="n"/>
      <c r="K154" s="3" t="n"/>
      <c r="L154" s="5">
        <f>IF(I154&lt;&gt;"",I154,IF(AND(G154&lt;&gt;"",H154&lt;&gt;""),G154*(1-H154/100),""))</f>
        <v/>
      </c>
      <c r="M154" s="5">
        <f>IF(J154&lt;&gt;"",J154,IF(AND(G154&lt;&gt;"",H154&lt;&gt;""),G154*(1+H154/100),""))</f>
        <v/>
      </c>
    </row>
    <row r="155" hidden="1" s="27">
      <c r="A155" s="2" t="n"/>
      <c r="B155" s="2" t="n"/>
      <c r="C155" s="6" t="n"/>
      <c r="G155" s="2" t="n"/>
      <c r="H155" s="2" t="n"/>
      <c r="I155" s="6" t="n"/>
      <c r="J155" s="6" t="n"/>
      <c r="K155" s="3" t="n"/>
      <c r="L155" s="5">
        <f>IF(I155&lt;&gt;"",I155,IF(AND(G155&lt;&gt;"",H155&lt;&gt;""),G155*(1-H155/100),""))</f>
        <v/>
      </c>
      <c r="M155" s="5">
        <f>IF(J155&lt;&gt;"",J155,IF(AND(G155&lt;&gt;"",H155&lt;&gt;""),G155*(1+H155/100),""))</f>
        <v/>
      </c>
    </row>
    <row r="156" hidden="1" s="27">
      <c r="A156" s="2" t="n"/>
      <c r="B156" s="2" t="n"/>
      <c r="C156" s="6" t="n"/>
      <c r="G156" s="2" t="n"/>
      <c r="H156" s="2" t="n"/>
      <c r="I156" s="6" t="n"/>
      <c r="J156" s="6" t="n"/>
      <c r="K156" s="3" t="n"/>
      <c r="L156" s="5">
        <f>IF(I156&lt;&gt;"",I156,IF(AND(G156&lt;&gt;"",H156&lt;&gt;""),G156*(1-H156/100),""))</f>
        <v/>
      </c>
      <c r="M156" s="5">
        <f>IF(J156&lt;&gt;"",J156,IF(AND(G156&lt;&gt;"",H156&lt;&gt;""),G156*(1+H156/100),""))</f>
        <v/>
      </c>
    </row>
    <row r="157" hidden="1" s="27">
      <c r="A157" s="2" t="n"/>
      <c r="B157" s="2" t="n"/>
      <c r="C157" s="6" t="n"/>
      <c r="G157" s="2" t="n"/>
      <c r="H157" s="2" t="n"/>
      <c r="I157" s="6" t="n"/>
      <c r="J157" s="6" t="n"/>
      <c r="K157" s="3" t="n"/>
      <c r="L157" s="5">
        <f>IF(I157&lt;&gt;"",I157,IF(AND(G157&lt;&gt;"",H157&lt;&gt;""),G157*(1-H157/100),""))</f>
        <v/>
      </c>
      <c r="M157" s="5">
        <f>IF(J157&lt;&gt;"",J157,IF(AND(G157&lt;&gt;"",H157&lt;&gt;""),G157*(1+H157/100),""))</f>
        <v/>
      </c>
    </row>
    <row r="158" hidden="1" s="27">
      <c r="A158" s="2" t="n"/>
      <c r="B158" s="2" t="n"/>
      <c r="C158" s="6" t="n"/>
      <c r="G158" s="2" t="n"/>
      <c r="H158" s="2" t="n"/>
      <c r="I158" s="6" t="n"/>
      <c r="J158" s="6" t="n"/>
      <c r="K158" s="3" t="n"/>
      <c r="L158" s="5">
        <f>IF(I158&lt;&gt;"",I158,IF(AND(G158&lt;&gt;"",H158&lt;&gt;""),G158*(1-H158/100),""))</f>
        <v/>
      </c>
      <c r="M158" s="5">
        <f>IF(J158&lt;&gt;"",J158,IF(AND(G158&lt;&gt;"",H158&lt;&gt;""),G158*(1+H158/100),""))</f>
        <v/>
      </c>
    </row>
    <row r="159" hidden="1" s="27">
      <c r="A159" s="2" t="n"/>
      <c r="B159" s="2" t="n"/>
      <c r="C159" s="6" t="n"/>
      <c r="G159" s="2" t="n"/>
      <c r="H159" s="2" t="n"/>
      <c r="I159" s="6" t="n"/>
      <c r="J159" s="6" t="n"/>
      <c r="K159" s="3" t="n"/>
      <c r="L159" s="5">
        <f>IF(I159&lt;&gt;"",I159,IF(AND(G159&lt;&gt;"",H159&lt;&gt;""),G159*(1-H159/100),""))</f>
        <v/>
      </c>
      <c r="M159" s="5">
        <f>IF(J159&lt;&gt;"",J159,IF(AND(G159&lt;&gt;"",H159&lt;&gt;""),G159*(1+H159/100),""))</f>
        <v/>
      </c>
    </row>
    <row r="160" hidden="1" s="27">
      <c r="A160" s="2" t="n"/>
      <c r="B160" s="2" t="n"/>
      <c r="C160" s="6" t="n"/>
      <c r="G160" s="2" t="n"/>
      <c r="H160" s="2" t="n"/>
      <c r="I160" s="6" t="n"/>
      <c r="J160" s="6" t="n"/>
      <c r="K160" s="3" t="n"/>
      <c r="L160" s="5">
        <f>IF(I160&lt;&gt;"",I160,IF(AND(G160&lt;&gt;"",H160&lt;&gt;""),G160*(1-H160/100),""))</f>
        <v/>
      </c>
      <c r="M160" s="5">
        <f>IF(J160&lt;&gt;"",J160,IF(AND(G160&lt;&gt;"",H160&lt;&gt;""),G160*(1+H160/100),""))</f>
        <v/>
      </c>
    </row>
    <row r="161" hidden="1" s="27">
      <c r="A161" s="2" t="n"/>
      <c r="B161" s="2" t="n"/>
      <c r="C161" s="6" t="n"/>
      <c r="G161" s="2" t="n"/>
      <c r="H161" s="2" t="n"/>
      <c r="I161" s="6" t="n"/>
      <c r="J161" s="6" t="n"/>
      <c r="K161" s="3" t="n"/>
      <c r="L161" s="5">
        <f>IF(I161&lt;&gt;"",I161,IF(AND(G161&lt;&gt;"",H161&lt;&gt;""),G161*(1-H161/100),""))</f>
        <v/>
      </c>
      <c r="M161" s="5">
        <f>IF(J161&lt;&gt;"",J161,IF(AND(G161&lt;&gt;"",H161&lt;&gt;""),G161*(1+H161/100),""))</f>
        <v/>
      </c>
    </row>
    <row r="162" hidden="1" s="27">
      <c r="A162" s="2" t="n"/>
      <c r="B162" s="2" t="n"/>
      <c r="C162" s="6" t="n"/>
      <c r="G162" s="2" t="n"/>
      <c r="H162" s="2" t="n"/>
      <c r="I162" s="6" t="n"/>
      <c r="J162" s="6" t="n"/>
      <c r="K162" s="3" t="n"/>
      <c r="L162" s="5">
        <f>IF(I162&lt;&gt;"",I162,IF(AND(G162&lt;&gt;"",H162&lt;&gt;""),G162*(1-H162/100),""))</f>
        <v/>
      </c>
      <c r="M162" s="5">
        <f>IF(J162&lt;&gt;"",J162,IF(AND(G162&lt;&gt;"",H162&lt;&gt;""),G162*(1+H162/100),""))</f>
        <v/>
      </c>
    </row>
    <row r="163" hidden="1" s="27">
      <c r="A163" s="2" t="n"/>
      <c r="B163" s="2" t="n"/>
      <c r="C163" s="6" t="n"/>
      <c r="G163" s="2" t="n"/>
      <c r="H163" s="2" t="n"/>
      <c r="I163" s="6" t="n"/>
      <c r="J163" s="6" t="n"/>
      <c r="K163" s="3" t="n"/>
      <c r="L163" s="5">
        <f>IF(I163&lt;&gt;"",I163,IF(AND(G163&lt;&gt;"",H163&lt;&gt;""),G163*(1-H163/100),""))</f>
        <v/>
      </c>
      <c r="M163" s="5">
        <f>IF(J163&lt;&gt;"",J163,IF(AND(G163&lt;&gt;"",H163&lt;&gt;""),G163*(1+H163/100),""))</f>
        <v/>
      </c>
    </row>
    <row r="164" hidden="1" s="27">
      <c r="A164" s="2" t="n"/>
      <c r="B164" s="2" t="n"/>
      <c r="C164" s="6" t="n"/>
      <c r="G164" s="2" t="n"/>
      <c r="H164" s="2" t="n"/>
      <c r="I164" s="6" t="n"/>
      <c r="J164" s="6" t="n"/>
      <c r="K164" s="3" t="n"/>
      <c r="L164" s="5">
        <f>IF(I164&lt;&gt;"",I164,IF(AND(G164&lt;&gt;"",H164&lt;&gt;""),G164*(1-H164/100),""))</f>
        <v/>
      </c>
      <c r="M164" s="5">
        <f>IF(J164&lt;&gt;"",J164,IF(AND(G164&lt;&gt;"",H164&lt;&gt;""),G164*(1+H164/100),""))</f>
        <v/>
      </c>
    </row>
    <row r="165" hidden="1" s="27">
      <c r="A165" s="2" t="n"/>
      <c r="B165" s="2" t="n"/>
      <c r="C165" s="6" t="n"/>
      <c r="G165" s="2" t="n"/>
      <c r="H165" s="2" t="n"/>
      <c r="I165" s="6" t="n"/>
      <c r="J165" s="6" t="n"/>
      <c r="K165" s="3" t="n"/>
      <c r="L165" s="5">
        <f>IF(I165&lt;&gt;"",I165,IF(AND(G165&lt;&gt;"",H165&lt;&gt;""),G165*(1-H165/100),""))</f>
        <v/>
      </c>
      <c r="M165" s="5">
        <f>IF(J165&lt;&gt;"",J165,IF(AND(G165&lt;&gt;"",H165&lt;&gt;""),G165*(1+H165/100),""))</f>
        <v/>
      </c>
    </row>
    <row r="166" hidden="1" s="27">
      <c r="A166" s="2" t="n"/>
      <c r="B166" s="2" t="n"/>
      <c r="C166" s="6" t="n"/>
      <c r="G166" s="2" t="n"/>
      <c r="H166" s="2" t="n"/>
      <c r="I166" s="6" t="n"/>
      <c r="J166" s="6" t="n"/>
      <c r="K166" s="3" t="n"/>
      <c r="L166" s="5">
        <f>IF(I166&lt;&gt;"",I166,IF(AND(G166&lt;&gt;"",H166&lt;&gt;""),G166*(1-H166/100),""))</f>
        <v/>
      </c>
      <c r="M166" s="5">
        <f>IF(J166&lt;&gt;"",J166,IF(AND(G166&lt;&gt;"",H166&lt;&gt;""),G166*(1+H166/100),""))</f>
        <v/>
      </c>
    </row>
    <row r="167" hidden="1" s="27">
      <c r="A167" s="2" t="n"/>
      <c r="B167" s="2" t="n"/>
      <c r="C167" s="6" t="n"/>
      <c r="G167" s="2" t="n"/>
      <c r="H167" s="2" t="n"/>
      <c r="I167" s="6" t="n"/>
      <c r="J167" s="6" t="n"/>
      <c r="K167" s="3" t="n"/>
      <c r="L167" s="5">
        <f>IF(I167&lt;&gt;"",I167,IF(AND(G167&lt;&gt;"",H167&lt;&gt;""),G167*(1-H167/100),""))</f>
        <v/>
      </c>
      <c r="M167" s="5">
        <f>IF(J167&lt;&gt;"",J167,IF(AND(G167&lt;&gt;"",H167&lt;&gt;""),G167*(1+H167/100),""))</f>
        <v/>
      </c>
    </row>
    <row r="168" hidden="1" s="27">
      <c r="A168" s="2" t="n"/>
      <c r="B168" s="2" t="n"/>
      <c r="C168" s="6" t="n"/>
      <c r="G168" s="2" t="n"/>
      <c r="H168" s="2" t="n"/>
      <c r="I168" s="6" t="n"/>
      <c r="J168" s="6" t="n"/>
      <c r="K168" s="3" t="n"/>
      <c r="L168" s="5">
        <f>IF(I168&lt;&gt;"",I168,IF(AND(G168&lt;&gt;"",H168&lt;&gt;""),G168*(1-H168/100),""))</f>
        <v/>
      </c>
      <c r="M168" s="5">
        <f>IF(J168&lt;&gt;"",J168,IF(AND(G168&lt;&gt;"",H168&lt;&gt;""),G168*(1+H168/100),""))</f>
        <v/>
      </c>
    </row>
    <row r="169" hidden="1" s="27">
      <c r="A169" s="2" t="n"/>
      <c r="B169" s="2" t="n"/>
      <c r="C169" s="6" t="n"/>
      <c r="G169" s="2" t="n"/>
      <c r="H169" s="2" t="n"/>
      <c r="I169" s="6" t="n"/>
      <c r="J169" s="6" t="n"/>
      <c r="K169" s="3" t="n"/>
      <c r="L169" s="5">
        <f>IF(I169&lt;&gt;"",I169,IF(AND(G169&lt;&gt;"",H169&lt;&gt;""),G169*(1-H169/100),""))</f>
        <v/>
      </c>
      <c r="M169" s="5">
        <f>IF(J169&lt;&gt;"",J169,IF(AND(G169&lt;&gt;"",H169&lt;&gt;""),G169*(1+H169/100),""))</f>
        <v/>
      </c>
    </row>
    <row r="170" hidden="1" s="27">
      <c r="A170" s="2" t="n"/>
      <c r="B170" s="2" t="n"/>
      <c r="C170" s="6" t="n"/>
      <c r="G170" s="2" t="n"/>
      <c r="H170" s="2" t="n"/>
      <c r="I170" s="6" t="n"/>
      <c r="J170" s="6" t="n"/>
      <c r="K170" s="3" t="n"/>
      <c r="L170" s="5">
        <f>IF(I170&lt;&gt;"",I170,IF(AND(G170&lt;&gt;"",H170&lt;&gt;""),G170*(1-H170/100),""))</f>
        <v/>
      </c>
      <c r="M170" s="5">
        <f>IF(J170&lt;&gt;"",J170,IF(AND(G170&lt;&gt;"",H170&lt;&gt;""),G170*(1+H170/100),""))</f>
        <v/>
      </c>
    </row>
    <row r="171" hidden="1" s="27">
      <c r="A171" s="2" t="n"/>
      <c r="B171" s="2" t="n"/>
      <c r="C171" s="6" t="n"/>
      <c r="G171" s="2" t="n"/>
      <c r="H171" s="2" t="n"/>
      <c r="I171" s="6" t="n"/>
      <c r="J171" s="6" t="n"/>
      <c r="K171" s="3" t="n"/>
      <c r="L171" s="5">
        <f>IF(I171&lt;&gt;"",I171,IF(AND(G171&lt;&gt;"",H171&lt;&gt;""),G171*(1-H171/100),""))</f>
        <v/>
      </c>
      <c r="M171" s="5">
        <f>IF(J171&lt;&gt;"",J171,IF(AND(G171&lt;&gt;"",H171&lt;&gt;""),G171*(1+H171/100),""))</f>
        <v/>
      </c>
    </row>
    <row r="172" hidden="1" s="27">
      <c r="A172" s="2" t="n"/>
      <c r="B172" s="2" t="n"/>
      <c r="C172" s="6" t="n"/>
      <c r="G172" s="2" t="n"/>
      <c r="H172" s="2" t="n"/>
      <c r="I172" s="6" t="n"/>
      <c r="J172" s="6" t="n"/>
      <c r="K172" s="3" t="n"/>
      <c r="L172" s="5">
        <f>IF(I172&lt;&gt;"",I172,IF(AND(G172&lt;&gt;"",H172&lt;&gt;""),G172*(1-H172/100),""))</f>
        <v/>
      </c>
      <c r="M172" s="5">
        <f>IF(J172&lt;&gt;"",J172,IF(AND(G172&lt;&gt;"",H172&lt;&gt;""),G172*(1+H172/100),""))</f>
        <v/>
      </c>
    </row>
    <row r="173" hidden="1" s="27">
      <c r="A173" s="2" t="n"/>
      <c r="B173" s="2" t="n"/>
      <c r="C173" s="6" t="n"/>
      <c r="G173" s="2" t="n"/>
      <c r="H173" s="2" t="n"/>
      <c r="I173" s="6" t="n"/>
      <c r="J173" s="6" t="n"/>
      <c r="K173" s="3" t="n"/>
      <c r="L173" s="5">
        <f>IF(I173&lt;&gt;"",I173,IF(AND(G173&lt;&gt;"",H173&lt;&gt;""),G173*(1-H173/100),""))</f>
        <v/>
      </c>
      <c r="M173" s="5">
        <f>IF(J173&lt;&gt;"",J173,IF(AND(G173&lt;&gt;"",H173&lt;&gt;""),G173*(1+H173/100),""))</f>
        <v/>
      </c>
    </row>
    <row r="174" hidden="1" s="27">
      <c r="A174" s="2" t="n"/>
      <c r="B174" s="2" t="n"/>
      <c r="C174" s="6" t="n"/>
      <c r="G174" s="2" t="n"/>
      <c r="H174" s="2" t="n"/>
      <c r="I174" s="6" t="n"/>
      <c r="J174" s="6" t="n"/>
      <c r="K174" s="3" t="n"/>
      <c r="L174" s="5">
        <f>IF(I174&lt;&gt;"",I174,IF(AND(G174&lt;&gt;"",H174&lt;&gt;""),G174*(1-H174/100),""))</f>
        <v/>
      </c>
      <c r="M174" s="5">
        <f>IF(J174&lt;&gt;"",J174,IF(AND(G174&lt;&gt;"",H174&lt;&gt;""),G174*(1+H174/100),""))</f>
        <v/>
      </c>
    </row>
    <row r="175" hidden="1" s="27">
      <c r="A175" s="2" t="n"/>
      <c r="B175" s="2" t="n"/>
      <c r="C175" s="6" t="n"/>
      <c r="G175" s="2" t="n"/>
      <c r="H175" s="2" t="n"/>
      <c r="I175" s="6" t="n"/>
      <c r="J175" s="6" t="n"/>
      <c r="K175" s="3" t="n"/>
      <c r="L175" s="5">
        <f>IF(I175&lt;&gt;"",I175,IF(AND(G175&lt;&gt;"",H175&lt;&gt;""),G175*(1-H175/100),""))</f>
        <v/>
      </c>
      <c r="M175" s="5">
        <f>IF(J175&lt;&gt;"",J175,IF(AND(G175&lt;&gt;"",H175&lt;&gt;""),G175*(1+H175/100),""))</f>
        <v/>
      </c>
    </row>
    <row r="176" hidden="1" s="27">
      <c r="A176" s="2" t="n"/>
      <c r="B176" s="2" t="n"/>
      <c r="C176" s="6" t="n"/>
      <c r="G176" s="2" t="n"/>
      <c r="H176" s="2" t="n"/>
      <c r="I176" s="6" t="n"/>
      <c r="J176" s="6" t="n"/>
      <c r="K176" s="3" t="n"/>
      <c r="L176" s="5">
        <f>IF(I176&lt;&gt;"",I176,IF(AND(G176&lt;&gt;"",H176&lt;&gt;""),G176*(1-H176/100),""))</f>
        <v/>
      </c>
      <c r="M176" s="5">
        <f>IF(J176&lt;&gt;"",J176,IF(AND(G176&lt;&gt;"",H176&lt;&gt;""),G176*(1+H176/100),""))</f>
        <v/>
      </c>
    </row>
    <row r="177" hidden="1" s="27">
      <c r="A177" s="2" t="n"/>
      <c r="B177" s="2" t="n"/>
      <c r="C177" s="6" t="n"/>
      <c r="G177" s="2" t="n"/>
      <c r="H177" s="2" t="n"/>
      <c r="I177" s="6" t="n"/>
      <c r="J177" s="6" t="n"/>
      <c r="K177" s="3" t="n"/>
      <c r="L177" s="5">
        <f>IF(I177&lt;&gt;"",I177,IF(AND(G177&lt;&gt;"",H177&lt;&gt;""),G177*(1-H177/100),""))</f>
        <v/>
      </c>
      <c r="M177" s="5">
        <f>IF(J177&lt;&gt;"",J177,IF(AND(G177&lt;&gt;"",H177&lt;&gt;""),G177*(1+H177/100),""))</f>
        <v/>
      </c>
    </row>
    <row r="178" hidden="1" s="27">
      <c r="A178" s="2" t="n"/>
      <c r="B178" s="2" t="n"/>
      <c r="C178" s="6" t="n"/>
      <c r="G178" s="2" t="n"/>
      <c r="H178" s="2" t="n"/>
      <c r="I178" s="6" t="n"/>
      <c r="J178" s="6" t="n"/>
      <c r="K178" s="3" t="n"/>
      <c r="L178" s="5">
        <f>IF(I178&lt;&gt;"",I178,IF(AND(G178&lt;&gt;"",H178&lt;&gt;""),G178*(1-H178/100),""))</f>
        <v/>
      </c>
      <c r="M178" s="5">
        <f>IF(J178&lt;&gt;"",J178,IF(AND(G178&lt;&gt;"",H178&lt;&gt;""),G178*(1+H178/100),""))</f>
        <v/>
      </c>
    </row>
    <row r="179" hidden="1" s="27">
      <c r="A179" s="2" t="n"/>
      <c r="B179" s="2" t="n"/>
      <c r="C179" s="6" t="n"/>
      <c r="G179" s="2" t="n"/>
      <c r="H179" s="2" t="n"/>
      <c r="I179" s="6" t="n"/>
      <c r="J179" s="6" t="n"/>
      <c r="K179" s="3" t="n"/>
      <c r="L179" s="5">
        <f>IF(I179&lt;&gt;"",I179,IF(AND(G179&lt;&gt;"",H179&lt;&gt;""),G179*(1-H179/100),""))</f>
        <v/>
      </c>
      <c r="M179" s="5">
        <f>IF(J179&lt;&gt;"",J179,IF(AND(G179&lt;&gt;"",H179&lt;&gt;""),G179*(1+H179/100),""))</f>
        <v/>
      </c>
    </row>
    <row r="180" hidden="1" s="27">
      <c r="A180" s="2" t="n"/>
      <c r="B180" s="2" t="n"/>
      <c r="C180" s="6" t="n"/>
      <c r="G180" s="2" t="n"/>
      <c r="H180" s="2" t="n"/>
      <c r="I180" s="6" t="n"/>
      <c r="J180" s="6" t="n"/>
      <c r="K180" s="3" t="n"/>
      <c r="L180" s="5">
        <f>IF(I180&lt;&gt;"",I180,IF(AND(G180&lt;&gt;"",H180&lt;&gt;""),G180*(1-H180/100),""))</f>
        <v/>
      </c>
      <c r="M180" s="5">
        <f>IF(J180&lt;&gt;"",J180,IF(AND(G180&lt;&gt;"",H180&lt;&gt;""),G180*(1+H180/100),""))</f>
        <v/>
      </c>
    </row>
    <row r="181" hidden="1" s="27">
      <c r="A181" s="2" t="n"/>
      <c r="B181" s="2" t="n"/>
      <c r="C181" s="6" t="n"/>
      <c r="G181" s="2" t="n"/>
      <c r="H181" s="2" t="n"/>
      <c r="I181" s="6" t="n"/>
      <c r="J181" s="6" t="n"/>
      <c r="K181" s="3" t="n"/>
      <c r="L181" s="5">
        <f>IF(I181&lt;&gt;"",I181,IF(AND(G181&lt;&gt;"",H181&lt;&gt;""),G181*(1-H181/100),""))</f>
        <v/>
      </c>
      <c r="M181" s="5">
        <f>IF(J181&lt;&gt;"",J181,IF(AND(G181&lt;&gt;"",H181&lt;&gt;""),G181*(1+H181/100),""))</f>
        <v/>
      </c>
    </row>
    <row r="182" hidden="1" s="27">
      <c r="A182" s="2" t="n"/>
      <c r="B182" s="2" t="n"/>
      <c r="C182" s="6" t="n"/>
      <c r="G182" s="2" t="n"/>
      <c r="H182" s="2" t="n"/>
      <c r="I182" s="6" t="n"/>
      <c r="J182" s="6" t="n"/>
      <c r="K182" s="3" t="n"/>
      <c r="L182" s="5">
        <f>IF(I182&lt;&gt;"",I182,IF(AND(G182&lt;&gt;"",H182&lt;&gt;""),G182*(1-H182/100),""))</f>
        <v/>
      </c>
      <c r="M182" s="5">
        <f>IF(J182&lt;&gt;"",J182,IF(AND(G182&lt;&gt;"",H182&lt;&gt;""),G182*(1+H182/100),""))</f>
        <v/>
      </c>
    </row>
    <row r="183" hidden="1" s="27">
      <c r="A183" s="2" t="n"/>
      <c r="B183" s="2" t="n"/>
      <c r="C183" s="6" t="n"/>
      <c r="G183" s="2" t="n"/>
      <c r="H183" s="2" t="n"/>
      <c r="I183" s="6" t="n"/>
      <c r="J183" s="6" t="n"/>
      <c r="K183" s="3" t="n"/>
      <c r="L183" s="5">
        <f>IF(I183&lt;&gt;"",I183,IF(AND(G183&lt;&gt;"",H183&lt;&gt;""),G183*(1-H183/100),""))</f>
        <v/>
      </c>
      <c r="M183" s="5">
        <f>IF(J183&lt;&gt;"",J183,IF(AND(G183&lt;&gt;"",H183&lt;&gt;""),G183*(1+H183/100),""))</f>
        <v/>
      </c>
    </row>
    <row r="184" hidden="1" s="27">
      <c r="A184" s="2" t="n"/>
      <c r="B184" s="2" t="n"/>
      <c r="C184" s="6" t="n"/>
      <c r="G184" s="2" t="n"/>
      <c r="H184" s="2" t="n"/>
      <c r="I184" s="6" t="n"/>
      <c r="J184" s="6" t="n"/>
      <c r="K184" s="3" t="n"/>
      <c r="L184" s="5">
        <f>IF(I184&lt;&gt;"",I184,IF(AND(G184&lt;&gt;"",H184&lt;&gt;""),G184*(1-H184/100),""))</f>
        <v/>
      </c>
      <c r="M184" s="5">
        <f>IF(J184&lt;&gt;"",J184,IF(AND(G184&lt;&gt;"",H184&lt;&gt;""),G184*(1+H184/100),""))</f>
        <v/>
      </c>
    </row>
    <row r="185" hidden="1" s="27">
      <c r="A185" s="2" t="n"/>
      <c r="B185" s="2" t="n"/>
      <c r="C185" s="6" t="n"/>
      <c r="G185" s="2" t="n"/>
      <c r="H185" s="2" t="n"/>
      <c r="I185" s="6" t="n"/>
      <c r="J185" s="6" t="n"/>
      <c r="K185" s="3" t="n"/>
      <c r="L185" s="5">
        <f>IF(I185&lt;&gt;"",I185,IF(AND(G185&lt;&gt;"",H185&lt;&gt;""),G185*(1-H185/100),""))</f>
        <v/>
      </c>
      <c r="M185" s="5">
        <f>IF(J185&lt;&gt;"",J185,IF(AND(G185&lt;&gt;"",H185&lt;&gt;""),G185*(1+H185/100),""))</f>
        <v/>
      </c>
    </row>
    <row r="186" hidden="1" s="27">
      <c r="A186" s="2" t="n"/>
      <c r="B186" s="2" t="n"/>
      <c r="C186" s="6" t="n"/>
      <c r="G186" s="2" t="n"/>
      <c r="H186" s="2" t="n"/>
      <c r="I186" s="6" t="n"/>
      <c r="J186" s="6" t="n"/>
      <c r="K186" s="3" t="n"/>
      <c r="L186" s="5">
        <f>IF(I186&lt;&gt;"",I186,IF(AND(G186&lt;&gt;"",H186&lt;&gt;""),G186*(1-H186/100),""))</f>
        <v/>
      </c>
      <c r="M186" s="5">
        <f>IF(J186&lt;&gt;"",J186,IF(AND(G186&lt;&gt;"",H186&lt;&gt;""),G186*(1+H186/100),""))</f>
        <v/>
      </c>
    </row>
    <row r="187" hidden="1" s="27">
      <c r="A187" s="2" t="n"/>
      <c r="B187" s="2" t="n"/>
      <c r="C187" s="6" t="n"/>
      <c r="G187" s="2" t="n"/>
      <c r="H187" s="2" t="n"/>
      <c r="I187" s="6" t="n"/>
      <c r="J187" s="6" t="n"/>
      <c r="K187" s="3" t="n"/>
      <c r="L187" s="5">
        <f>IF(I187&lt;&gt;"",I187,IF(AND(G187&lt;&gt;"",H187&lt;&gt;""),G187*(1-H187/100),""))</f>
        <v/>
      </c>
      <c r="M187" s="5">
        <f>IF(J187&lt;&gt;"",J187,IF(AND(G187&lt;&gt;"",H187&lt;&gt;""),G187*(1+H187/100),""))</f>
        <v/>
      </c>
    </row>
    <row r="188" hidden="1" s="27">
      <c r="A188" s="2" t="n"/>
      <c r="B188" s="2" t="n"/>
      <c r="C188" s="6" t="n"/>
      <c r="G188" s="2" t="n"/>
      <c r="H188" s="2" t="n"/>
      <c r="I188" s="6" t="n"/>
      <c r="J188" s="6" t="n"/>
      <c r="K188" s="3" t="n"/>
      <c r="L188" s="5">
        <f>IF(I188&lt;&gt;"",I188,IF(AND(G188&lt;&gt;"",H188&lt;&gt;""),G188*(1-H188/100),""))</f>
        <v/>
      </c>
      <c r="M188" s="5">
        <f>IF(J188&lt;&gt;"",J188,IF(AND(G188&lt;&gt;"",H188&lt;&gt;""),G188*(1+H188/100),""))</f>
        <v/>
      </c>
    </row>
    <row r="189" hidden="1" s="27">
      <c r="A189" s="2" t="n"/>
      <c r="B189" s="2" t="n"/>
      <c r="C189" s="6" t="n"/>
      <c r="G189" s="2" t="n"/>
      <c r="H189" s="2" t="n"/>
      <c r="I189" s="6" t="n"/>
      <c r="J189" s="6" t="n"/>
      <c r="K189" s="3" t="n"/>
      <c r="L189" s="5">
        <f>IF(I189&lt;&gt;"",I189,IF(AND(G189&lt;&gt;"",H189&lt;&gt;""),G189*(1-H189/100),""))</f>
        <v/>
      </c>
      <c r="M189" s="5">
        <f>IF(J189&lt;&gt;"",J189,IF(AND(G189&lt;&gt;"",H189&lt;&gt;""),G189*(1+H189/100),""))</f>
        <v/>
      </c>
    </row>
    <row r="190" hidden="1" s="27">
      <c r="A190" s="2" t="n"/>
      <c r="B190" s="2" t="n"/>
      <c r="C190" s="6" t="n"/>
      <c r="G190" s="2" t="n"/>
      <c r="H190" s="2" t="n"/>
      <c r="I190" s="6" t="n"/>
      <c r="J190" s="6" t="n"/>
      <c r="K190" s="3" t="n"/>
      <c r="L190" s="5">
        <f>IF(I190&lt;&gt;"",I190,IF(AND(G190&lt;&gt;"",H190&lt;&gt;""),G190*(1-H190/100),""))</f>
        <v/>
      </c>
      <c r="M190" s="5">
        <f>IF(J190&lt;&gt;"",J190,IF(AND(G190&lt;&gt;"",H190&lt;&gt;""),G190*(1+H190/100),""))</f>
        <v/>
      </c>
    </row>
    <row r="191" hidden="1" s="27">
      <c r="A191" s="2" t="n"/>
      <c r="B191" s="2" t="n"/>
      <c r="C191" s="6" t="n"/>
      <c r="G191" s="2" t="n"/>
      <c r="H191" s="2" t="n"/>
      <c r="I191" s="6" t="n"/>
      <c r="J191" s="6" t="n"/>
      <c r="K191" s="3" t="n"/>
      <c r="L191" s="5">
        <f>IF(I191&lt;&gt;"",I191,IF(AND(G191&lt;&gt;"",H191&lt;&gt;""),G191*(1-H191/100),""))</f>
        <v/>
      </c>
      <c r="M191" s="5">
        <f>IF(J191&lt;&gt;"",J191,IF(AND(G191&lt;&gt;"",H191&lt;&gt;""),G191*(1+H191/100),""))</f>
        <v/>
      </c>
    </row>
    <row r="192" hidden="1" s="27">
      <c r="A192" s="2" t="n"/>
      <c r="B192" s="2" t="n"/>
      <c r="C192" s="6" t="n"/>
      <c r="G192" s="2" t="n"/>
      <c r="H192" s="2" t="n"/>
      <c r="I192" s="6" t="n"/>
      <c r="J192" s="6" t="n"/>
      <c r="K192" s="3" t="n"/>
      <c r="L192" s="5">
        <f>IF(I192&lt;&gt;"",I192,IF(AND(G192&lt;&gt;"",H192&lt;&gt;""),G192*(1-H192/100),""))</f>
        <v/>
      </c>
      <c r="M192" s="5">
        <f>IF(J192&lt;&gt;"",J192,IF(AND(G192&lt;&gt;"",H192&lt;&gt;""),G192*(1+H192/100),""))</f>
        <v/>
      </c>
    </row>
    <row r="193" hidden="1" s="27">
      <c r="A193" s="2" t="n"/>
      <c r="B193" s="2" t="n"/>
      <c r="C193" s="6" t="n"/>
      <c r="G193" s="2" t="n"/>
      <c r="H193" s="2" t="n"/>
      <c r="I193" s="6" t="n"/>
      <c r="J193" s="6" t="n"/>
      <c r="K193" s="3" t="n"/>
      <c r="L193" s="5">
        <f>IF(I193&lt;&gt;"",I193,IF(AND(G193&lt;&gt;"",H193&lt;&gt;""),G193*(1-H193/100),""))</f>
        <v/>
      </c>
      <c r="M193" s="5">
        <f>IF(J193&lt;&gt;"",J193,IF(AND(G193&lt;&gt;"",H193&lt;&gt;""),G193*(1+H193/100),""))</f>
        <v/>
      </c>
    </row>
    <row r="194" hidden="1" s="27">
      <c r="A194" s="2" t="n"/>
      <c r="B194" s="2" t="n"/>
      <c r="C194" s="6" t="n"/>
      <c r="G194" s="2" t="n"/>
      <c r="H194" s="2" t="n"/>
      <c r="I194" s="6" t="n"/>
      <c r="J194" s="6" t="n"/>
      <c r="K194" s="3" t="n"/>
      <c r="L194" s="5">
        <f>IF(I194&lt;&gt;"",I194,IF(AND(G194&lt;&gt;"",H194&lt;&gt;""),G194*(1-H194/100),""))</f>
        <v/>
      </c>
      <c r="M194" s="5">
        <f>IF(J194&lt;&gt;"",J194,IF(AND(G194&lt;&gt;"",H194&lt;&gt;""),G194*(1+H194/100),""))</f>
        <v/>
      </c>
    </row>
    <row r="195" hidden="1" s="27">
      <c r="A195" s="2" t="n"/>
      <c r="B195" s="2" t="n"/>
      <c r="C195" s="6" t="n"/>
      <c r="G195" s="2" t="n"/>
      <c r="H195" s="2" t="n"/>
      <c r="I195" s="6" t="n"/>
      <c r="J195" s="6" t="n"/>
      <c r="K195" s="3" t="n"/>
      <c r="L195" s="5">
        <f>IF(I195&lt;&gt;"",I195,IF(AND(G195&lt;&gt;"",H195&lt;&gt;""),G195*(1-H195/100),""))</f>
        <v/>
      </c>
      <c r="M195" s="5">
        <f>IF(J195&lt;&gt;"",J195,IF(AND(G195&lt;&gt;"",H195&lt;&gt;""),G195*(1+H195/100),""))</f>
        <v/>
      </c>
    </row>
    <row r="196" hidden="1" s="27">
      <c r="A196" s="2" t="n"/>
      <c r="B196" s="2" t="n"/>
      <c r="C196" s="6" t="n"/>
      <c r="G196" s="2" t="n"/>
      <c r="H196" s="2" t="n"/>
      <c r="I196" s="6" t="n"/>
      <c r="J196" s="6" t="n"/>
      <c r="K196" s="3" t="n"/>
      <c r="L196" s="5">
        <f>IF(I196&lt;&gt;"",I196,IF(AND(G196&lt;&gt;"",H196&lt;&gt;""),G196*(1-H196/100),""))</f>
        <v/>
      </c>
      <c r="M196" s="5">
        <f>IF(J196&lt;&gt;"",J196,IF(AND(G196&lt;&gt;"",H196&lt;&gt;""),G196*(1+H196/100),""))</f>
        <v/>
      </c>
    </row>
    <row r="197" hidden="1" s="27">
      <c r="A197" s="2" t="n"/>
      <c r="B197" s="2" t="n"/>
      <c r="C197" s="6" t="n"/>
      <c r="G197" s="2" t="n"/>
      <c r="H197" s="2" t="n"/>
      <c r="I197" s="6" t="n"/>
      <c r="J197" s="6" t="n"/>
      <c r="K197" s="3" t="n"/>
      <c r="L197" s="5">
        <f>IF(I197&lt;&gt;"",I197,IF(AND(G197&lt;&gt;"",H197&lt;&gt;""),G197*(1-H197/100),""))</f>
        <v/>
      </c>
      <c r="M197" s="5">
        <f>IF(J197&lt;&gt;"",J197,IF(AND(G197&lt;&gt;"",H197&lt;&gt;""),G197*(1+H197/100),""))</f>
        <v/>
      </c>
    </row>
    <row r="198" hidden="1" s="27">
      <c r="A198" s="2" t="n"/>
      <c r="B198" s="2" t="n"/>
      <c r="C198" s="6" t="n"/>
      <c r="G198" s="2" t="n"/>
      <c r="H198" s="2" t="n"/>
      <c r="I198" s="6" t="n"/>
      <c r="J198" s="6" t="n"/>
      <c r="K198" s="3" t="n"/>
      <c r="L198" s="5">
        <f>IF(I198&lt;&gt;"",I198,IF(AND(G198&lt;&gt;"",H198&lt;&gt;""),G198*(1-H198/100),""))</f>
        <v/>
      </c>
      <c r="M198" s="5">
        <f>IF(J198&lt;&gt;"",J198,IF(AND(G198&lt;&gt;"",H198&lt;&gt;""),G198*(1+H198/100),""))</f>
        <v/>
      </c>
    </row>
    <row r="199" hidden="1" s="27">
      <c r="A199" s="2" t="n"/>
      <c r="B199" s="2" t="n"/>
      <c r="C199" s="6" t="n"/>
      <c r="G199" s="2" t="n"/>
      <c r="H199" s="2" t="n"/>
      <c r="I199" s="6" t="n"/>
      <c r="J199" s="6" t="n"/>
      <c r="K199" s="3" t="n"/>
      <c r="L199" s="5">
        <f>IF(I199&lt;&gt;"",I199,IF(AND(G199&lt;&gt;"",H199&lt;&gt;""),G199*(1-H199/100),""))</f>
        <v/>
      </c>
      <c r="M199" s="5">
        <f>IF(J199&lt;&gt;"",J199,IF(AND(G199&lt;&gt;"",H199&lt;&gt;""),G199*(1+H199/100),""))</f>
        <v/>
      </c>
    </row>
    <row r="200" hidden="1" s="27">
      <c r="A200" s="2" t="n"/>
      <c r="B200" s="2" t="n"/>
      <c r="C200" s="6" t="n"/>
      <c r="G200" s="2" t="n"/>
      <c r="H200" s="2" t="n"/>
      <c r="I200" s="6" t="n"/>
      <c r="J200" s="6" t="n"/>
      <c r="K200" s="3" t="n"/>
      <c r="L200" s="5">
        <f>IF(I200&lt;&gt;"",I200,IF(AND(G200&lt;&gt;"",H200&lt;&gt;""),G200*(1-H200/100),""))</f>
        <v/>
      </c>
      <c r="M200" s="5">
        <f>IF(J200&lt;&gt;"",J200,IF(AND(G200&lt;&gt;"",H200&lt;&gt;""),G200*(1+H200/100),""))</f>
        <v/>
      </c>
    </row>
    <row r="201" hidden="1" s="27">
      <c r="A201" s="2" t="n"/>
      <c r="B201" s="2" t="n"/>
      <c r="C201" s="6" t="n"/>
      <c r="G201" s="2" t="n"/>
      <c r="H201" s="2" t="n"/>
      <c r="I201" s="6" t="n"/>
      <c r="J201" s="6" t="n"/>
      <c r="K201" s="3" t="n"/>
      <c r="L201" s="5">
        <f>IF(I201&lt;&gt;"",I201,IF(AND(G201&lt;&gt;"",H201&lt;&gt;""),G201*(1-H201/100),""))</f>
        <v/>
      </c>
      <c r="M201" s="5">
        <f>IF(J201&lt;&gt;"",J201,IF(AND(G201&lt;&gt;"",H201&lt;&gt;""),G201*(1+H201/100),""))</f>
        <v/>
      </c>
    </row>
    <row r="202" hidden="1" s="27">
      <c r="A202" s="2" t="n"/>
      <c r="B202" s="2" t="n"/>
      <c r="C202" s="6" t="n"/>
      <c r="G202" s="2" t="n"/>
      <c r="H202" s="2" t="n"/>
      <c r="I202" s="6" t="n"/>
      <c r="J202" s="6" t="n"/>
      <c r="K202" s="3" t="n"/>
      <c r="L202" s="5">
        <f>IF(I202&lt;&gt;"",I202,IF(AND(G202&lt;&gt;"",H202&lt;&gt;""),G202*(1-H202/100),""))</f>
        <v/>
      </c>
      <c r="M202" s="5">
        <f>IF(J202&lt;&gt;"",J202,IF(AND(G202&lt;&gt;"",H202&lt;&gt;""),G202*(1+H202/100),""))</f>
        <v/>
      </c>
    </row>
    <row r="203" hidden="1" s="27">
      <c r="A203" s="2" t="n"/>
      <c r="B203" s="2" t="n"/>
      <c r="C203" s="6" t="n"/>
      <c r="G203" s="2" t="n"/>
      <c r="H203" s="2" t="n"/>
      <c r="I203" s="6" t="n"/>
      <c r="J203" s="6" t="n"/>
      <c r="K203" s="3" t="n"/>
      <c r="L203" s="5">
        <f>IF(I203&lt;&gt;"",I203,IF(AND(G203&lt;&gt;"",H203&lt;&gt;""),G203*(1-H203/100),""))</f>
        <v/>
      </c>
      <c r="M203" s="5">
        <f>IF(J203&lt;&gt;"",J203,IF(AND(G203&lt;&gt;"",H203&lt;&gt;""),G203*(1+H203/100),""))</f>
        <v/>
      </c>
    </row>
    <row r="204" hidden="1" s="27">
      <c r="A204" s="2" t="n"/>
      <c r="B204" s="2" t="n"/>
      <c r="C204" s="6" t="n"/>
      <c r="G204" s="2" t="n"/>
      <c r="H204" s="2" t="n"/>
      <c r="I204" s="6" t="n"/>
      <c r="J204" s="6" t="n"/>
      <c r="K204" s="3" t="n"/>
      <c r="L204" s="5">
        <f>IF(I204&lt;&gt;"",I204,IF(AND(G204&lt;&gt;"",H204&lt;&gt;""),G204*(1-H204/100),""))</f>
        <v/>
      </c>
      <c r="M204" s="5">
        <f>IF(J204&lt;&gt;"",J204,IF(AND(G204&lt;&gt;"",H204&lt;&gt;""),G204*(1+H204/100),""))</f>
        <v/>
      </c>
    </row>
  </sheetData>
  <autoFilter ref="C1:C204">
    <filterColumn colId="0" hiddenButton="0" showButton="1">
      <filters>
        <filter val="DINT_cow"/>
      </filters>
    </filterColumn>
  </autoFilter>
  <mergeCells count="1">
    <mergeCell ref="A1:P1"/>
  </mergeCells>
  <conditionalFormatting sqref="G4:G204">
    <cfRule type="expression" priority="4" dxfId="0">
      <formula>AND(G4="",A4&lt;&gt;"")</formula>
    </cfRule>
  </conditionalFormatting>
  <conditionalFormatting sqref="H4:H204">
    <cfRule type="expression" priority="3" dxfId="2">
      <formula>H4&gt;100</formula>
    </cfRule>
  </conditionalFormatting>
  <conditionalFormatting sqref="I4:I204">
    <cfRule type="expression" priority="2" dxfId="0">
      <formula>AND(I4&lt;&gt;"",J4&lt;&gt;"",I4&gt;=J4)</formula>
    </cfRule>
  </conditionalFormatting>
  <conditionalFormatting sqref="J4:J204">
    <cfRule type="expression" priority="1" dxfId="0">
      <formula>AND(I4&lt;&gt;"",J4&lt;&gt;"",I4&gt;=J4)</formula>
    </cfRule>
  </conditionalFormatting>
  <pageMargins left="0.7" right="0.7" top="0.75" bottom="0.75" header="0.3" footer="0.3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1B4332"/>
    <outlinePr summaryBelow="1" summaryRight="1"/>
    <pageSetUpPr/>
  </sheetPr>
  <dimension ref="A1:V123"/>
  <sheetViews>
    <sheetView tabSelected="1" topLeftCell="I1" workbookViewId="0">
      <pane ySplit="3" topLeftCell="A4" activePane="bottomLeft" state="frozen"/>
      <selection pane="bottomLeft" activeCell="T12" sqref="T12"/>
    </sheetView>
  </sheetViews>
  <sheetFormatPr baseColWidth="8" defaultColWidth="11.5546875" defaultRowHeight="13.8"/>
  <cols>
    <col width="14.6640625" customWidth="1" style="27" min="1" max="1"/>
    <col width="20.6640625" customWidth="1" style="27" min="2" max="2"/>
    <col width="16.6640625" customWidth="1" style="27" min="3" max="3"/>
    <col width="18.6640625" customWidth="1" style="27" min="4" max="4"/>
    <col width="12.6640625" customWidth="1" style="27" min="5" max="5"/>
    <col width="10.6640625" customWidth="1" style="27" min="6" max="8"/>
    <col width="15.6640625" customWidth="1" style="27" min="9" max="9"/>
    <col width="10.6640625" customWidth="1" style="27" min="10" max="12"/>
    <col width="15.6640625" customWidth="1" style="27" min="13" max="13"/>
    <col width="8.6640625" customWidth="1" style="27" min="14" max="14"/>
    <col width="14.6640625" customWidth="1" style="27" min="15" max="15"/>
    <col width="12.6640625" customWidth="1" style="27" min="16" max="17"/>
    <col width="18.6640625" customWidth="1" style="27" min="18" max="18"/>
    <col width="14.6640625" customWidth="1" style="27" min="19" max="19"/>
    <col width="12.6640625" customWidth="1" style="27" min="20" max="21"/>
    <col width="18.6640625" customWidth="1" style="27" min="22" max="22"/>
  </cols>
  <sheetData>
    <row r="1" ht="43.95" customHeight="1" s="27">
      <c r="A1" s="24" t="inlineStr">
        <is>
          <t>Enter one row per manure management system (MMS) per sub-category. fraction_pct values for the same cattle_type+aggregation_level+sub_category MUST sum to 100. SUB-CATEGORY HANDLING: if all sub-categories of the same cattle_type+aggregation_level use the same MMS allocation, you may leave sub_category blank — the values will apply to every sub-category in that group. If sub-categories differ (e.g. cows vs calves), provide a separate set of rows per sub-category. Enter MCF values from IPCC Table 10.17 for your climate zone (see Vocab sheet). EF3 from IPCC Table 10.21. For asymmetric distributions, fill lower_mcf/upper_mcf or lower_ef3/upper_ef3 with min/max values.</t>
        </is>
      </c>
    </row>
    <row r="2" ht="27.6" customHeight="1" s="27">
      <c r="A2" s="1" t="inlineStr">
        <is>
          <t>cattle_type</t>
        </is>
      </c>
      <c r="B2" s="1" t="inlineStr">
        <is>
          <t>aggregation_level</t>
        </is>
      </c>
      <c r="C2" s="1" t="inlineStr">
        <is>
          <t>sub_category</t>
        </is>
      </c>
      <c r="D2" s="1" t="inlineStr">
        <is>
          <t>mms_type</t>
        </is>
      </c>
      <c r="E2" s="1" t="inlineStr">
        <is>
          <t>fraction_pct</t>
        </is>
      </c>
      <c r="F2" s="1" t="inlineStr">
        <is>
          <t>MCF_pct</t>
        </is>
      </c>
      <c r="G2" s="1" t="inlineStr">
        <is>
          <t>lower_mcf</t>
        </is>
      </c>
      <c r="H2" s="1" t="inlineStr">
        <is>
          <t>upper_mcf</t>
        </is>
      </c>
      <c r="I2" s="1" t="inlineStr">
        <is>
          <t>distribution_mcf</t>
        </is>
      </c>
      <c r="J2" s="1" t="inlineStr">
        <is>
          <t>EF3</t>
        </is>
      </c>
      <c r="K2" s="1" t="inlineStr">
        <is>
          <t>lower_ef3</t>
        </is>
      </c>
      <c r="L2" s="1" t="inlineStr">
        <is>
          <t>upper_ef3</t>
        </is>
      </c>
      <c r="M2" s="1" t="inlineStr">
        <is>
          <t>distribution_ef3</t>
        </is>
      </c>
      <c r="N2" s="1" t="inlineStr">
        <is>
          <t>Bo</t>
        </is>
      </c>
      <c r="O2" s="1" t="inlineStr">
        <is>
          <t>Frac_GasMS_pct</t>
        </is>
      </c>
      <c r="P2" s="1" t="inlineStr">
        <is>
          <t>lower_frac_gas</t>
        </is>
      </c>
      <c r="Q2" s="1" t="inlineStr">
        <is>
          <t>upper_frac_gas</t>
        </is>
      </c>
      <c r="R2" s="1" t="inlineStr">
        <is>
          <t>distribution_frac_gas</t>
        </is>
      </c>
      <c r="S2" s="1" t="inlineStr">
        <is>
          <t>Frac_LeachMS_pct</t>
        </is>
      </c>
      <c r="T2" s="1" t="inlineStr">
        <is>
          <t>lower_frac_leach</t>
        </is>
      </c>
      <c r="U2" s="1" t="inlineStr">
        <is>
          <t>upper_frac_leach</t>
        </is>
      </c>
      <c r="V2" s="1" t="inlineStr">
        <is>
          <t>distribution_frac_leach</t>
        </is>
      </c>
    </row>
    <row r="3" ht="36" customHeight="1" s="27">
      <c r="A3" s="8" t="inlineStr">
        <is>
          <t>dairy / other (free text)</t>
        </is>
      </c>
      <c r="B3" s="8" t="inlineStr">
        <is>
          <t>Region / AEZ / production system (free text)</t>
        </is>
      </c>
      <c r="C3" s="8" t="inlineStr">
        <is>
          <t>Optional: cows / heifers / calves (free text)</t>
        </is>
      </c>
      <c r="D3" s="8" t="inlineStr">
        <is>
          <t>Select from dropdown</t>
        </is>
      </c>
      <c r="E3" s="8" t="inlineStr">
        <is>
          <t>% of manure to this MMS (all rows per sub-cat must sum to 100)</t>
        </is>
      </c>
      <c r="F3" s="8" t="inlineStr">
        <is>
          <t>Methane conv. factor % — look up IPCC Table 10.17 in Vocab sheet</t>
        </is>
      </c>
      <c r="G3" s="8" t="inlineStr">
        <is>
          <t>Optional: min value for asymmetric MCF distribution</t>
        </is>
      </c>
      <c r="H3" s="8" t="inlineStr">
        <is>
          <t>Optional: max value for asymmetric MCF distribution</t>
        </is>
      </c>
      <c r="I3" s="8" t="inlineStr">
        <is>
          <t>Distribution for MCF uncertainty — select from dropdown</t>
        </is>
      </c>
      <c r="J3" s="8" t="inlineStr">
        <is>
          <t>Direct N2O EF — look up IPCC Table 10.21 in Vocab sheet</t>
        </is>
      </c>
      <c r="K3" s="8" t="inlineStr">
        <is>
          <t>Optional: min value for asymmetric EF3 distribution</t>
        </is>
      </c>
      <c r="L3" s="8" t="inlineStr">
        <is>
          <t>Optional: max value for asymmetric EF3 distribution</t>
        </is>
      </c>
      <c r="M3" s="8" t="inlineStr">
        <is>
          <t>Distribution for EF3 uncertainty — select from dropdown</t>
        </is>
      </c>
      <c r="N3" s="8" t="inlineStr">
        <is>
          <t>Max CH4 capacity (m3/kg VS) — IPCC default 0.10</t>
        </is>
      </c>
      <c r="O3" s="8" t="inlineStr">
        <is>
          <t>Volatilisation fraction % per MMS — IPCC 2019 Table 10.22</t>
        </is>
      </c>
      <c r="P3" s="8" t="inlineStr">
        <is>
          <t>Optional: min for asymmetric Frac_GasMS distribution</t>
        </is>
      </c>
      <c r="Q3" s="8" t="inlineStr">
        <is>
          <t>Optional: max for asymmetric Frac_GasMS distribution</t>
        </is>
      </c>
      <c r="R3" s="8" t="inlineStr">
        <is>
          <t>Distribution for Frac_GasMS — select from dropdown</t>
        </is>
      </c>
      <c r="S3" s="8" t="inlineStr">
        <is>
          <t>Leaching fraction % per MMS — IPCC 2019 Table 10.23</t>
        </is>
      </c>
      <c r="T3" s="8" t="inlineStr">
        <is>
          <t>Optional: min for asymmetric Frac_LeachMS distribution</t>
        </is>
      </c>
      <c r="U3" s="8" t="inlineStr">
        <is>
          <t>Optional: max for asymmetric Frac_LeachMS distribution</t>
        </is>
      </c>
      <c r="V3" s="8" t="inlineStr">
        <is>
          <t>Distribution for Frac_LeachMS — select from dropdown</t>
        </is>
      </c>
    </row>
    <row r="4">
      <c r="A4" s="21" t="inlineStr">
        <is>
          <t>dairy</t>
        </is>
      </c>
      <c r="B4" s="21" t="inlineStr">
        <is>
          <t>Intensive</t>
        </is>
      </c>
      <c r="C4" s="22" t="inlineStr">
        <is>
          <t>DINT_cow</t>
        </is>
      </c>
      <c r="D4" s="3" t="inlineStr">
        <is>
          <t>lagoon</t>
        </is>
      </c>
      <c r="E4" s="2" t="n">
        <v>5</v>
      </c>
      <c r="F4" s="2" t="n">
        <v>76</v>
      </c>
      <c r="G4" s="6" t="n">
        <v>38</v>
      </c>
      <c r="H4" s="6" t="n">
        <v>114</v>
      </c>
      <c r="I4" s="3" t="inlineStr">
        <is>
          <t>normal</t>
        </is>
      </c>
      <c r="J4" s="2" t="n">
        <v>0</v>
      </c>
      <c r="K4" s="6" t="n">
        <v>0</v>
      </c>
      <c r="L4" s="6" t="n">
        <v>0</v>
      </c>
      <c r="M4" s="3" t="inlineStr">
        <is>
          <t>beta</t>
        </is>
      </c>
      <c r="N4" s="6" t="n">
        <v>0.24</v>
      </c>
      <c r="O4" s="2" t="n">
        <v>35</v>
      </c>
      <c r="P4" s="6" t="n">
        <v>23</v>
      </c>
      <c r="Q4" s="6" t="n">
        <v>63</v>
      </c>
      <c r="R4" s="23" t="inlineStr">
        <is>
          <t>pert</t>
        </is>
      </c>
      <c r="S4" s="2" t="n">
        <v>0</v>
      </c>
      <c r="T4" s="6" t="n">
        <v>0</v>
      </c>
      <c r="U4" s="6" t="n">
        <v>0</v>
      </c>
      <c r="V4" s="3" t="inlineStr">
        <is>
          <t>pert</t>
        </is>
      </c>
    </row>
    <row r="5">
      <c r="A5" s="21" t="inlineStr">
        <is>
          <t>dairy</t>
        </is>
      </c>
      <c r="B5" s="21" t="inlineStr">
        <is>
          <t>Intensive</t>
        </is>
      </c>
      <c r="C5" s="22" t="inlineStr">
        <is>
          <t>DINT_cow</t>
        </is>
      </c>
      <c r="D5" s="3" t="inlineStr">
        <is>
          <t>liquid_slurry</t>
        </is>
      </c>
      <c r="E5" s="2" t="n">
        <v>4</v>
      </c>
      <c r="F5" s="2" t="n">
        <v>73</v>
      </c>
      <c r="G5" s="6" t="n">
        <v>36.5</v>
      </c>
      <c r="H5" s="6" t="n">
        <v>109.5</v>
      </c>
      <c r="I5" s="3" t="inlineStr">
        <is>
          <t>normal</t>
        </is>
      </c>
      <c r="J5" s="2" t="n">
        <v>0.005</v>
      </c>
      <c r="K5" s="6" t="n">
        <v>1e-05</v>
      </c>
      <c r="L5" s="6" t="n">
        <v>0.0111</v>
      </c>
      <c r="M5" s="3" t="inlineStr">
        <is>
          <t>beta</t>
        </is>
      </c>
      <c r="N5" s="6" t="n">
        <v>0.24</v>
      </c>
      <c r="O5" s="2" t="n">
        <v>48</v>
      </c>
      <c r="P5" s="6" t="n">
        <v>27.28</v>
      </c>
      <c r="Q5" s="6" t="n">
        <v>57.41</v>
      </c>
      <c r="R5" s="23" t="inlineStr">
        <is>
          <t>pert</t>
        </is>
      </c>
      <c r="S5" s="2" t="n">
        <v>0</v>
      </c>
      <c r="T5" s="6" t="n">
        <v>0</v>
      </c>
      <c r="U5" s="6" t="n">
        <v>0</v>
      </c>
      <c r="V5" s="3" t="inlineStr">
        <is>
          <t>pert</t>
        </is>
      </c>
    </row>
    <row r="6">
      <c r="A6" s="21" t="inlineStr">
        <is>
          <t>dairy</t>
        </is>
      </c>
      <c r="B6" s="21" t="inlineStr">
        <is>
          <t>Intensive</t>
        </is>
      </c>
      <c r="C6" s="22" t="inlineStr">
        <is>
          <t>DINT_cow</t>
        </is>
      </c>
      <c r="D6" s="3" t="inlineStr">
        <is>
          <t>solid_storage</t>
        </is>
      </c>
      <c r="E6" s="2" t="n">
        <v>77</v>
      </c>
      <c r="F6" s="2" t="n">
        <v>5</v>
      </c>
      <c r="G6" s="6" t="n">
        <v>2.49</v>
      </c>
      <c r="H6" s="6" t="n">
        <v>7.51</v>
      </c>
      <c r="I6" s="3" t="inlineStr">
        <is>
          <t>normal</t>
        </is>
      </c>
      <c r="J6" s="2" t="n">
        <v>0.01</v>
      </c>
      <c r="K6" s="6" t="n">
        <v>0.0001</v>
      </c>
      <c r="L6" s="6" t="n">
        <v>0.0221</v>
      </c>
      <c r="M6" s="3" t="inlineStr">
        <is>
          <t>beta</t>
        </is>
      </c>
      <c r="N6" s="6" t="n">
        <v>0.24</v>
      </c>
      <c r="O6" s="2" t="n">
        <v>30</v>
      </c>
      <c r="P6" s="6" t="n">
        <v>17.15</v>
      </c>
      <c r="Q6" s="6" t="n">
        <v>34.19</v>
      </c>
      <c r="R6" s="23" t="inlineStr">
        <is>
          <t>pert</t>
        </is>
      </c>
      <c r="S6" s="2" t="n">
        <v>2</v>
      </c>
      <c r="T6" s="6" t="n">
        <v>0.41</v>
      </c>
      <c r="U6" s="6" t="n">
        <v>21.65</v>
      </c>
      <c r="V6" s="3" t="inlineStr">
        <is>
          <t>pert</t>
        </is>
      </c>
    </row>
    <row r="7">
      <c r="A7" s="21" t="inlineStr">
        <is>
          <t>dairy</t>
        </is>
      </c>
      <c r="B7" s="21" t="inlineStr">
        <is>
          <t>Intensive</t>
        </is>
      </c>
      <c r="C7" s="22" t="inlineStr">
        <is>
          <t>DINT_cow</t>
        </is>
      </c>
      <c r="D7" s="3" t="inlineStr">
        <is>
          <t>dry_lot</t>
        </is>
      </c>
      <c r="E7" s="2" t="n">
        <v>8</v>
      </c>
      <c r="F7" s="2" t="n">
        <v>2</v>
      </c>
      <c r="G7" s="6" t="n">
        <v>1</v>
      </c>
      <c r="H7" s="6" t="n">
        <v>3</v>
      </c>
      <c r="I7" s="3" t="inlineStr">
        <is>
          <t>normal</t>
        </is>
      </c>
      <c r="J7" s="2" t="n">
        <v>0.02</v>
      </c>
      <c r="K7" s="6" t="n">
        <v>0.0001</v>
      </c>
      <c r="L7" s="6" t="n">
        <v>0.0442</v>
      </c>
      <c r="M7" s="3" t="inlineStr">
        <is>
          <t>beta</t>
        </is>
      </c>
      <c r="N7" s="6" t="n">
        <v>0.24</v>
      </c>
      <c r="O7" s="2" t="n">
        <v>30</v>
      </c>
      <c r="P7" s="6" t="n">
        <v>22.38</v>
      </c>
      <c r="Q7" s="6" t="n">
        <v>43.02</v>
      </c>
      <c r="R7" s="23" t="inlineStr">
        <is>
          <t>pert</t>
        </is>
      </c>
      <c r="S7" s="2" t="n">
        <v>3.5</v>
      </c>
      <c r="T7" s="6" t="n">
        <v>1.03</v>
      </c>
      <c r="U7" s="6" t="n">
        <v>5.97</v>
      </c>
      <c r="V7" s="3" t="inlineStr">
        <is>
          <t>pert</t>
        </is>
      </c>
    </row>
    <row r="8">
      <c r="A8" s="21" t="inlineStr">
        <is>
          <t>dairy</t>
        </is>
      </c>
      <c r="B8" s="21" t="inlineStr">
        <is>
          <t>Intensive</t>
        </is>
      </c>
      <c r="C8" s="22" t="inlineStr">
        <is>
          <t>DINT_cow</t>
        </is>
      </c>
      <c r="D8" s="3" t="inlineStr">
        <is>
          <t>daily_spread</t>
        </is>
      </c>
      <c r="E8" s="2" t="n">
        <v>5</v>
      </c>
      <c r="F8" s="2" t="n">
        <v>1</v>
      </c>
      <c r="G8" s="6" t="n">
        <v>0.5</v>
      </c>
      <c r="H8" s="6" t="n">
        <v>1.5</v>
      </c>
      <c r="I8" s="3" t="inlineStr">
        <is>
          <t>normal</t>
        </is>
      </c>
      <c r="J8" s="2" t="n">
        <v>0</v>
      </c>
      <c r="K8" s="6" t="n">
        <v>0</v>
      </c>
      <c r="L8" s="6" t="n">
        <v>0</v>
      </c>
      <c r="M8" s="3" t="inlineStr">
        <is>
          <t>beta</t>
        </is>
      </c>
      <c r="N8" s="6" t="n">
        <v>0.24</v>
      </c>
      <c r="O8" s="2" t="n">
        <v>7</v>
      </c>
      <c r="P8" s="6" t="n">
        <v>5.5</v>
      </c>
      <c r="Q8" s="6" t="n">
        <v>35.5</v>
      </c>
      <c r="R8" s="23" t="inlineStr">
        <is>
          <t>pert</t>
        </is>
      </c>
      <c r="S8" s="2" t="n">
        <v>0</v>
      </c>
      <c r="T8" s="6" t="n">
        <v>0</v>
      </c>
      <c r="U8" s="6" t="n">
        <v>0</v>
      </c>
      <c r="V8" s="3" t="inlineStr">
        <is>
          <t>pert</t>
        </is>
      </c>
    </row>
    <row r="9">
      <c r="A9" s="21" t="inlineStr">
        <is>
          <t>dairy</t>
        </is>
      </c>
      <c r="B9" s="21" t="inlineStr">
        <is>
          <t>Intensive</t>
        </is>
      </c>
      <c r="C9" s="22" t="inlineStr">
        <is>
          <t>DINT_cow</t>
        </is>
      </c>
      <c r="D9" s="3" t="inlineStr">
        <is>
          <t>anaerobic_digester</t>
        </is>
      </c>
      <c r="E9" s="2" t="n">
        <v>1</v>
      </c>
      <c r="F9" s="2" t="n">
        <v>9.550000000000001</v>
      </c>
      <c r="G9" s="6" t="n">
        <v>4.77</v>
      </c>
      <c r="H9" s="6" t="n">
        <v>14.33</v>
      </c>
      <c r="I9" s="3" t="inlineStr">
        <is>
          <t>normal</t>
        </is>
      </c>
      <c r="J9" s="2" t="n">
        <v>0.0005999999999999999</v>
      </c>
      <c r="K9" s="6" t="n">
        <v>1e-05</v>
      </c>
      <c r="L9" s="6" t="n">
        <v>0.00132</v>
      </c>
      <c r="M9" s="3" t="inlineStr">
        <is>
          <t>beta</t>
        </is>
      </c>
      <c r="N9" s="6" t="n">
        <v>0.24</v>
      </c>
      <c r="O9" s="2" t="n">
        <v>23</v>
      </c>
      <c r="P9" s="6" t="n">
        <v>7.1</v>
      </c>
      <c r="Q9" s="6" t="n">
        <v>50.9</v>
      </c>
      <c r="R9" s="23" t="inlineStr">
        <is>
          <t>pert</t>
        </is>
      </c>
      <c r="S9" s="2" t="n">
        <v>0</v>
      </c>
      <c r="T9" s="6" t="n">
        <v>0</v>
      </c>
      <c r="U9" s="6" t="n">
        <v>0</v>
      </c>
      <c r="V9" s="3" t="inlineStr">
        <is>
          <t>pert</t>
        </is>
      </c>
    </row>
    <row r="10">
      <c r="A10" s="21" t="inlineStr">
        <is>
          <t>dairy</t>
        </is>
      </c>
      <c r="B10" s="21" t="inlineStr">
        <is>
          <t>Intensive</t>
        </is>
      </c>
      <c r="C10" s="22" t="inlineStr">
        <is>
          <t>DINT_cow</t>
        </is>
      </c>
      <c r="D10" s="3" t="inlineStr">
        <is>
          <t>pasture</t>
        </is>
      </c>
      <c r="E10" s="2" t="n">
        <v>0</v>
      </c>
      <c r="F10" s="2" t="n">
        <v>0.47</v>
      </c>
      <c r="G10" s="6" t="n">
        <v>0.235</v>
      </c>
      <c r="H10" s="6" t="n">
        <v>0.705</v>
      </c>
      <c r="I10" s="3" t="inlineStr">
        <is>
          <t>normal</t>
        </is>
      </c>
      <c r="J10" s="2" t="n">
        <v>0.006</v>
      </c>
      <c r="K10" s="6" t="n">
        <v>1e-05</v>
      </c>
      <c r="L10" s="6" t="n">
        <v>0.012</v>
      </c>
      <c r="M10" s="3" t="inlineStr">
        <is>
          <t>beta</t>
        </is>
      </c>
      <c r="N10" s="6" t="n">
        <v>0.24</v>
      </c>
      <c r="O10" s="2" t="n">
        <v>21</v>
      </c>
      <c r="P10" s="6" t="n">
        <v>7.41</v>
      </c>
      <c r="Q10" s="6" t="n">
        <v>28.66</v>
      </c>
      <c r="R10" s="23" t="inlineStr">
        <is>
          <t>pert</t>
        </is>
      </c>
      <c r="S10" s="2" t="n">
        <v>24</v>
      </c>
      <c r="T10" s="6" t="n">
        <v>1</v>
      </c>
      <c r="U10" s="6" t="n">
        <v>73</v>
      </c>
      <c r="V10" s="3" t="inlineStr">
        <is>
          <t>pert</t>
        </is>
      </c>
    </row>
    <row r="11">
      <c r="A11" s="21" t="inlineStr">
        <is>
          <t>dairy</t>
        </is>
      </c>
      <c r="B11" s="21" t="inlineStr">
        <is>
          <t>Intensive</t>
        </is>
      </c>
      <c r="C11" s="22" t="inlineStr">
        <is>
          <t>DINT_bull</t>
        </is>
      </c>
      <c r="D11" s="3" t="inlineStr">
        <is>
          <t>lagoon</t>
        </is>
      </c>
      <c r="E11" s="2" t="n">
        <v>5</v>
      </c>
      <c r="F11" s="2" t="n">
        <v>76</v>
      </c>
      <c r="G11" s="6" t="n">
        <v>38</v>
      </c>
      <c r="H11" s="6" t="n">
        <v>114</v>
      </c>
      <c r="I11" s="3" t="inlineStr">
        <is>
          <t>normal</t>
        </is>
      </c>
      <c r="J11" s="2" t="n">
        <v>0</v>
      </c>
      <c r="K11" s="6" t="n">
        <v>0</v>
      </c>
      <c r="L11" s="6" t="n">
        <v>0</v>
      </c>
      <c r="M11" s="3" t="inlineStr">
        <is>
          <t>beta</t>
        </is>
      </c>
      <c r="N11" s="6" t="n">
        <v>0.13</v>
      </c>
      <c r="O11" s="2" t="n">
        <v>35</v>
      </c>
      <c r="P11" s="6" t="n">
        <v>23</v>
      </c>
      <c r="Q11" s="6" t="n">
        <v>63</v>
      </c>
      <c r="R11" s="23" t="inlineStr">
        <is>
          <t>pert</t>
        </is>
      </c>
      <c r="S11" s="2" t="n">
        <v>0</v>
      </c>
      <c r="T11" s="6" t="n">
        <v>0</v>
      </c>
      <c r="U11" s="6" t="n">
        <v>0</v>
      </c>
      <c r="V11" s="3" t="inlineStr">
        <is>
          <t>pert</t>
        </is>
      </c>
    </row>
    <row r="12">
      <c r="A12" s="21" t="inlineStr">
        <is>
          <t>dairy</t>
        </is>
      </c>
      <c r="B12" s="21" t="inlineStr">
        <is>
          <t>Intensive</t>
        </is>
      </c>
      <c r="C12" s="22" t="inlineStr">
        <is>
          <t>DINT_bull</t>
        </is>
      </c>
      <c r="D12" s="3" t="inlineStr">
        <is>
          <t>liquid_slurry</t>
        </is>
      </c>
      <c r="E12" s="2" t="n">
        <v>4</v>
      </c>
      <c r="F12" s="2" t="n">
        <v>73</v>
      </c>
      <c r="G12" s="6" t="n">
        <v>36.5</v>
      </c>
      <c r="H12" s="6" t="n">
        <v>109.5</v>
      </c>
      <c r="I12" s="3" t="inlineStr">
        <is>
          <t>normal</t>
        </is>
      </c>
      <c r="J12" s="2" t="n">
        <v>0.005</v>
      </c>
      <c r="K12" s="6" t="n">
        <v>1e-05</v>
      </c>
      <c r="L12" s="6" t="n">
        <v>0.0111</v>
      </c>
      <c r="M12" s="3" t="inlineStr">
        <is>
          <t>beta</t>
        </is>
      </c>
      <c r="N12" s="6" t="n">
        <v>0.13</v>
      </c>
      <c r="O12" s="2" t="n">
        <v>48</v>
      </c>
      <c r="P12" s="6" t="n">
        <v>27.28</v>
      </c>
      <c r="Q12" s="6" t="n">
        <v>57.41</v>
      </c>
      <c r="R12" s="23" t="inlineStr">
        <is>
          <t>pert</t>
        </is>
      </c>
      <c r="S12" s="2" t="n">
        <v>0</v>
      </c>
      <c r="T12" s="6" t="n">
        <v>0</v>
      </c>
      <c r="U12" s="6" t="n">
        <v>0</v>
      </c>
      <c r="V12" s="3" t="inlineStr">
        <is>
          <t>pert</t>
        </is>
      </c>
    </row>
    <row r="13">
      <c r="A13" s="21" t="inlineStr">
        <is>
          <t>dairy</t>
        </is>
      </c>
      <c r="B13" s="21" t="inlineStr">
        <is>
          <t>Intensive</t>
        </is>
      </c>
      <c r="C13" s="22" t="inlineStr">
        <is>
          <t>DINT_bull</t>
        </is>
      </c>
      <c r="D13" s="3" t="inlineStr">
        <is>
          <t>solid_storage</t>
        </is>
      </c>
      <c r="E13" s="2" t="n">
        <v>50</v>
      </c>
      <c r="F13" s="2" t="n">
        <v>5</v>
      </c>
      <c r="G13" s="6" t="n">
        <v>2.49</v>
      </c>
      <c r="H13" s="6" t="n">
        <v>7.51</v>
      </c>
      <c r="I13" s="3" t="inlineStr">
        <is>
          <t>normal</t>
        </is>
      </c>
      <c r="J13" s="2" t="n">
        <v>0.01</v>
      </c>
      <c r="K13" s="6" t="n">
        <v>0.0001</v>
      </c>
      <c r="L13" s="6" t="n">
        <v>0.0221</v>
      </c>
      <c r="M13" s="3" t="inlineStr">
        <is>
          <t>beta</t>
        </is>
      </c>
      <c r="N13" s="6" t="n">
        <v>0.13</v>
      </c>
      <c r="O13" s="2" t="n">
        <v>45</v>
      </c>
      <c r="P13" s="6" t="n">
        <v>21.9</v>
      </c>
      <c r="Q13" s="6" t="n">
        <v>60</v>
      </c>
      <c r="R13" s="23" t="inlineStr">
        <is>
          <t>pert</t>
        </is>
      </c>
      <c r="S13" s="2" t="n">
        <v>2</v>
      </c>
      <c r="T13" s="6" t="n">
        <v>0.41</v>
      </c>
      <c r="U13" s="6" t="n">
        <v>21.65</v>
      </c>
      <c r="V13" s="3" t="inlineStr">
        <is>
          <t>pert</t>
        </is>
      </c>
    </row>
    <row r="14">
      <c r="A14" s="21" t="inlineStr">
        <is>
          <t>dairy</t>
        </is>
      </c>
      <c r="B14" s="21" t="inlineStr">
        <is>
          <t>Intensive</t>
        </is>
      </c>
      <c r="C14" s="22" t="inlineStr">
        <is>
          <t>DINT_bull</t>
        </is>
      </c>
      <c r="D14" s="3" t="inlineStr">
        <is>
          <t>dry_lot</t>
        </is>
      </c>
      <c r="E14" s="2" t="n">
        <v>8</v>
      </c>
      <c r="F14" s="2" t="n">
        <v>2</v>
      </c>
      <c r="G14" s="6" t="n">
        <v>1</v>
      </c>
      <c r="H14" s="6" t="n">
        <v>3</v>
      </c>
      <c r="I14" s="3" t="inlineStr">
        <is>
          <t>normal</t>
        </is>
      </c>
      <c r="J14" s="2" t="n">
        <v>0.02</v>
      </c>
      <c r="K14" s="6" t="n">
        <v>0.0001</v>
      </c>
      <c r="L14" s="6" t="n">
        <v>0.0442</v>
      </c>
      <c r="M14" s="3" t="inlineStr">
        <is>
          <t>beta</t>
        </is>
      </c>
      <c r="N14" s="6" t="n">
        <v>0.13</v>
      </c>
      <c r="O14" s="2" t="n">
        <v>30</v>
      </c>
      <c r="P14" s="6" t="n">
        <v>22.38</v>
      </c>
      <c r="Q14" s="6" t="n">
        <v>43.02</v>
      </c>
      <c r="R14" s="23" t="inlineStr">
        <is>
          <t>pert</t>
        </is>
      </c>
      <c r="S14" s="2" t="n">
        <v>3.5</v>
      </c>
      <c r="T14" s="6" t="n">
        <v>1.03</v>
      </c>
      <c r="U14" s="6" t="n">
        <v>5.97</v>
      </c>
      <c r="V14" s="3" t="inlineStr">
        <is>
          <t>pert</t>
        </is>
      </c>
    </row>
    <row r="15">
      <c r="A15" s="21" t="inlineStr">
        <is>
          <t>dairy</t>
        </is>
      </c>
      <c r="B15" s="21" t="inlineStr">
        <is>
          <t>Intensive</t>
        </is>
      </c>
      <c r="C15" s="22" t="inlineStr">
        <is>
          <t>DINT_bull</t>
        </is>
      </c>
      <c r="D15" s="3" t="inlineStr">
        <is>
          <t>daily_spread</t>
        </is>
      </c>
      <c r="E15" s="2" t="n">
        <v>5</v>
      </c>
      <c r="F15" s="2" t="n">
        <v>1</v>
      </c>
      <c r="G15" s="6" t="n">
        <v>0.5</v>
      </c>
      <c r="H15" s="6" t="n">
        <v>1.5</v>
      </c>
      <c r="I15" s="3" t="inlineStr">
        <is>
          <t>normal</t>
        </is>
      </c>
      <c r="J15" s="2" t="n">
        <v>0</v>
      </c>
      <c r="K15" s="6" t="n">
        <v>0</v>
      </c>
      <c r="L15" s="6" t="n">
        <v>0</v>
      </c>
      <c r="M15" s="3" t="inlineStr">
        <is>
          <t>beta</t>
        </is>
      </c>
      <c r="N15" s="6" t="n">
        <v>0.13</v>
      </c>
      <c r="O15" s="2" t="n">
        <v>7</v>
      </c>
      <c r="P15" s="6" t="n">
        <v>5.5</v>
      </c>
      <c r="Q15" s="6" t="n">
        <v>35.5</v>
      </c>
      <c r="R15" s="23" t="inlineStr">
        <is>
          <t>pert</t>
        </is>
      </c>
      <c r="S15" s="2" t="n">
        <v>0</v>
      </c>
      <c r="T15" s="6" t="n">
        <v>0</v>
      </c>
      <c r="U15" s="6" t="n">
        <v>0</v>
      </c>
      <c r="V15" s="3" t="inlineStr">
        <is>
          <t>pert</t>
        </is>
      </c>
    </row>
    <row r="16">
      <c r="A16" s="21" t="inlineStr">
        <is>
          <t>dairy</t>
        </is>
      </c>
      <c r="B16" s="21" t="inlineStr">
        <is>
          <t>Intensive</t>
        </is>
      </c>
      <c r="C16" s="22" t="inlineStr">
        <is>
          <t>DINT_bull</t>
        </is>
      </c>
      <c r="D16" s="3" t="inlineStr">
        <is>
          <t>anaerobic_digester</t>
        </is>
      </c>
      <c r="E16" s="2" t="n">
        <v>1</v>
      </c>
      <c r="F16" s="2" t="n">
        <v>9.550000000000001</v>
      </c>
      <c r="G16" s="6" t="n">
        <v>4.77</v>
      </c>
      <c r="H16" s="6" t="n">
        <v>14.33</v>
      </c>
      <c r="I16" s="3" t="inlineStr">
        <is>
          <t>normal</t>
        </is>
      </c>
      <c r="J16" s="2" t="n">
        <v>0.0005999999999999999</v>
      </c>
      <c r="K16" s="6" t="n">
        <v>1e-05</v>
      </c>
      <c r="L16" s="6" t="n">
        <v>0.00132</v>
      </c>
      <c r="M16" s="3" t="inlineStr">
        <is>
          <t>beta</t>
        </is>
      </c>
      <c r="N16" s="6" t="n">
        <v>0.13</v>
      </c>
      <c r="O16" s="2" t="n">
        <v>23</v>
      </c>
      <c r="P16" s="6" t="n">
        <v>7.1</v>
      </c>
      <c r="Q16" s="6" t="n">
        <v>50.9</v>
      </c>
      <c r="R16" s="23" t="inlineStr">
        <is>
          <t>pert</t>
        </is>
      </c>
      <c r="S16" s="2" t="n">
        <v>0</v>
      </c>
      <c r="T16" s="6" t="n">
        <v>0</v>
      </c>
      <c r="U16" s="6" t="n">
        <v>0</v>
      </c>
      <c r="V16" s="3" t="inlineStr">
        <is>
          <t>pert</t>
        </is>
      </c>
    </row>
    <row r="17">
      <c r="A17" s="21" t="inlineStr">
        <is>
          <t>dairy</t>
        </is>
      </c>
      <c r="B17" s="21" t="inlineStr">
        <is>
          <t>Intensive</t>
        </is>
      </c>
      <c r="C17" s="22" t="inlineStr">
        <is>
          <t>DINT_bull</t>
        </is>
      </c>
      <c r="D17" s="3" t="inlineStr">
        <is>
          <t>pasture</t>
        </is>
      </c>
      <c r="E17" s="2" t="n">
        <v>27</v>
      </c>
      <c r="F17" s="2" t="n">
        <v>0.47</v>
      </c>
      <c r="G17" s="6" t="n">
        <v>0.235</v>
      </c>
      <c r="H17" s="6" t="n">
        <v>0.705</v>
      </c>
      <c r="I17" s="3" t="inlineStr">
        <is>
          <t>normal</t>
        </is>
      </c>
      <c r="J17" s="2" t="n">
        <v>0.006</v>
      </c>
      <c r="K17" s="6" t="n">
        <v>1e-05</v>
      </c>
      <c r="L17" s="6" t="n">
        <v>0.012</v>
      </c>
      <c r="M17" s="3" t="inlineStr">
        <is>
          <t>beta</t>
        </is>
      </c>
      <c r="N17" s="6" t="n">
        <v>0.13</v>
      </c>
      <c r="O17" s="2" t="n">
        <v>21</v>
      </c>
      <c r="P17" s="6" t="n">
        <v>7.41</v>
      </c>
      <c r="Q17" s="6" t="n">
        <v>28.66</v>
      </c>
      <c r="R17" s="23" t="inlineStr">
        <is>
          <t>pert</t>
        </is>
      </c>
      <c r="S17" s="2" t="n">
        <v>24</v>
      </c>
      <c r="T17" s="6" t="n">
        <v>1</v>
      </c>
      <c r="U17" s="6" t="n">
        <v>73</v>
      </c>
      <c r="V17" s="3" t="inlineStr">
        <is>
          <t>pert</t>
        </is>
      </c>
    </row>
    <row r="18">
      <c r="A18" s="21" t="inlineStr">
        <is>
          <t>dairy</t>
        </is>
      </c>
      <c r="B18" s="21" t="inlineStr">
        <is>
          <t>Intensive</t>
        </is>
      </c>
      <c r="C18" s="22" t="inlineStr">
        <is>
          <t>DINT_heifer</t>
        </is>
      </c>
      <c r="D18" s="3" t="inlineStr">
        <is>
          <t>lagoon</t>
        </is>
      </c>
      <c r="E18" s="2" t="n">
        <v>5</v>
      </c>
      <c r="F18" s="2" t="n">
        <v>76</v>
      </c>
      <c r="G18" s="6" t="n">
        <v>38</v>
      </c>
      <c r="H18" s="6" t="n">
        <v>114</v>
      </c>
      <c r="I18" s="3" t="inlineStr">
        <is>
          <t>normal</t>
        </is>
      </c>
      <c r="J18" s="2" t="n">
        <v>0</v>
      </c>
      <c r="K18" s="6" t="n">
        <v>0</v>
      </c>
      <c r="L18" s="6" t="n">
        <v>0</v>
      </c>
      <c r="M18" s="3" t="inlineStr">
        <is>
          <t>beta</t>
        </is>
      </c>
      <c r="N18" s="6" t="n">
        <v>0.13</v>
      </c>
      <c r="O18" s="2" t="n">
        <v>35</v>
      </c>
      <c r="P18" s="6" t="n">
        <v>23</v>
      </c>
      <c r="Q18" s="6" t="n">
        <v>63</v>
      </c>
      <c r="R18" s="23" t="inlineStr">
        <is>
          <t>pert</t>
        </is>
      </c>
      <c r="S18" s="2" t="n">
        <v>0</v>
      </c>
      <c r="T18" s="6" t="n">
        <v>0</v>
      </c>
      <c r="U18" s="6" t="n">
        <v>0</v>
      </c>
      <c r="V18" s="3" t="inlineStr">
        <is>
          <t>pert</t>
        </is>
      </c>
    </row>
    <row r="19">
      <c r="A19" s="21" t="inlineStr">
        <is>
          <t>dairy</t>
        </is>
      </c>
      <c r="B19" s="21" t="inlineStr">
        <is>
          <t>Intensive</t>
        </is>
      </c>
      <c r="C19" s="22" t="inlineStr">
        <is>
          <t>DINT_heifer</t>
        </is>
      </c>
      <c r="D19" s="3" t="inlineStr">
        <is>
          <t>liquid_slurry</t>
        </is>
      </c>
      <c r="E19" s="2" t="n">
        <v>4</v>
      </c>
      <c r="F19" s="2" t="n">
        <v>73</v>
      </c>
      <c r="G19" s="6" t="n">
        <v>36.5</v>
      </c>
      <c r="H19" s="6" t="n">
        <v>109.5</v>
      </c>
      <c r="I19" s="3" t="inlineStr">
        <is>
          <t>normal</t>
        </is>
      </c>
      <c r="J19" s="2" t="n">
        <v>0.005</v>
      </c>
      <c r="K19" s="6" t="n">
        <v>1e-05</v>
      </c>
      <c r="L19" s="6" t="n">
        <v>0.0111</v>
      </c>
      <c r="M19" s="3" t="inlineStr">
        <is>
          <t>beta</t>
        </is>
      </c>
      <c r="N19" s="6" t="n">
        <v>0.13</v>
      </c>
      <c r="O19" s="2" t="n">
        <v>48</v>
      </c>
      <c r="P19" s="6" t="n">
        <v>27.28</v>
      </c>
      <c r="Q19" s="6" t="n">
        <v>57.41</v>
      </c>
      <c r="R19" s="23" t="inlineStr">
        <is>
          <t>pert</t>
        </is>
      </c>
      <c r="S19" s="2" t="n">
        <v>0</v>
      </c>
      <c r="T19" s="6" t="n">
        <v>0</v>
      </c>
      <c r="U19" s="6" t="n">
        <v>0</v>
      </c>
      <c r="V19" s="3" t="inlineStr">
        <is>
          <t>pert</t>
        </is>
      </c>
    </row>
    <row r="20">
      <c r="A20" s="21" t="inlineStr">
        <is>
          <t>dairy</t>
        </is>
      </c>
      <c r="B20" s="21" t="inlineStr">
        <is>
          <t>Intensive</t>
        </is>
      </c>
      <c r="C20" s="22" t="inlineStr">
        <is>
          <t>DINT_heifer</t>
        </is>
      </c>
      <c r="D20" s="3" t="inlineStr">
        <is>
          <t>solid_storage</t>
        </is>
      </c>
      <c r="E20" s="2" t="n">
        <v>50</v>
      </c>
      <c r="F20" s="2" t="n">
        <v>5</v>
      </c>
      <c r="G20" s="6" t="n">
        <v>2.49</v>
      </c>
      <c r="H20" s="6" t="n">
        <v>7.51</v>
      </c>
      <c r="I20" s="3" t="inlineStr">
        <is>
          <t>normal</t>
        </is>
      </c>
      <c r="J20" s="2" t="n">
        <v>0.01</v>
      </c>
      <c r="K20" s="6" t="n">
        <v>0.0001</v>
      </c>
      <c r="L20" s="6" t="n">
        <v>0.0221</v>
      </c>
      <c r="M20" s="3" t="inlineStr">
        <is>
          <t>beta</t>
        </is>
      </c>
      <c r="N20" s="6" t="n">
        <v>0.13</v>
      </c>
      <c r="O20" s="2" t="n">
        <v>45</v>
      </c>
      <c r="P20" s="6" t="n">
        <v>21.9</v>
      </c>
      <c r="Q20" s="6" t="n">
        <v>60</v>
      </c>
      <c r="R20" s="23" t="inlineStr">
        <is>
          <t>pert</t>
        </is>
      </c>
      <c r="S20" s="2" t="n">
        <v>2</v>
      </c>
      <c r="T20" s="6" t="n">
        <v>0.41</v>
      </c>
      <c r="U20" s="6" t="n">
        <v>21.65</v>
      </c>
      <c r="V20" s="3" t="inlineStr">
        <is>
          <t>pert</t>
        </is>
      </c>
    </row>
    <row r="21">
      <c r="A21" s="21" t="inlineStr">
        <is>
          <t>dairy</t>
        </is>
      </c>
      <c r="B21" s="21" t="inlineStr">
        <is>
          <t>Intensive</t>
        </is>
      </c>
      <c r="C21" s="22" t="inlineStr">
        <is>
          <t>DINT_heifer</t>
        </is>
      </c>
      <c r="D21" s="3" t="inlineStr">
        <is>
          <t>dry_lot</t>
        </is>
      </c>
      <c r="E21" s="2" t="n">
        <v>8</v>
      </c>
      <c r="F21" s="2" t="n">
        <v>2</v>
      </c>
      <c r="G21" s="6" t="n">
        <v>1</v>
      </c>
      <c r="H21" s="6" t="n">
        <v>3</v>
      </c>
      <c r="I21" s="3" t="inlineStr">
        <is>
          <t>normal</t>
        </is>
      </c>
      <c r="J21" s="2" t="n">
        <v>0.02</v>
      </c>
      <c r="K21" s="6" t="n">
        <v>0.0001</v>
      </c>
      <c r="L21" s="6" t="n">
        <v>0.0442</v>
      </c>
      <c r="M21" s="3" t="inlineStr">
        <is>
          <t>beta</t>
        </is>
      </c>
      <c r="N21" s="6" t="n">
        <v>0.13</v>
      </c>
      <c r="O21" s="2" t="n">
        <v>30</v>
      </c>
      <c r="P21" s="6" t="n">
        <v>22.38</v>
      </c>
      <c r="Q21" s="6" t="n">
        <v>43.02</v>
      </c>
      <c r="R21" s="23" t="inlineStr">
        <is>
          <t>pert</t>
        </is>
      </c>
      <c r="S21" s="2" t="n">
        <v>3.5</v>
      </c>
      <c r="T21" s="6" t="n">
        <v>1.03</v>
      </c>
      <c r="U21" s="6" t="n">
        <v>5.97</v>
      </c>
      <c r="V21" s="3" t="inlineStr">
        <is>
          <t>pert</t>
        </is>
      </c>
    </row>
    <row r="22">
      <c r="A22" s="21" t="inlineStr">
        <is>
          <t>dairy</t>
        </is>
      </c>
      <c r="B22" s="21" t="inlineStr">
        <is>
          <t>Intensive</t>
        </is>
      </c>
      <c r="C22" s="22" t="inlineStr">
        <is>
          <t>DINT_heifer</t>
        </is>
      </c>
      <c r="D22" s="3" t="inlineStr">
        <is>
          <t>daily_spread</t>
        </is>
      </c>
      <c r="E22" s="2" t="n">
        <v>5</v>
      </c>
      <c r="F22" s="2" t="n">
        <v>1</v>
      </c>
      <c r="G22" s="6" t="n">
        <v>0.5</v>
      </c>
      <c r="H22" s="6" t="n">
        <v>1.5</v>
      </c>
      <c r="I22" s="3" t="inlineStr">
        <is>
          <t>normal</t>
        </is>
      </c>
      <c r="J22" s="2" t="n">
        <v>0</v>
      </c>
      <c r="K22" s="6" t="n">
        <v>0</v>
      </c>
      <c r="L22" s="6" t="n">
        <v>0</v>
      </c>
      <c r="M22" s="3" t="inlineStr">
        <is>
          <t>beta</t>
        </is>
      </c>
      <c r="N22" s="6" t="n">
        <v>0.13</v>
      </c>
      <c r="O22" s="2" t="n">
        <v>7</v>
      </c>
      <c r="P22" s="6" t="n">
        <v>5.5</v>
      </c>
      <c r="Q22" s="6" t="n">
        <v>35.5</v>
      </c>
      <c r="R22" s="23" t="inlineStr">
        <is>
          <t>pert</t>
        </is>
      </c>
      <c r="S22" s="2" t="n">
        <v>0</v>
      </c>
      <c r="T22" s="6" t="n">
        <v>0</v>
      </c>
      <c r="U22" s="6" t="n">
        <v>0</v>
      </c>
      <c r="V22" s="3" t="inlineStr">
        <is>
          <t>pert</t>
        </is>
      </c>
    </row>
    <row r="23">
      <c r="A23" s="21" t="inlineStr">
        <is>
          <t>dairy</t>
        </is>
      </c>
      <c r="B23" s="21" t="inlineStr">
        <is>
          <t>Intensive</t>
        </is>
      </c>
      <c r="C23" s="22" t="inlineStr">
        <is>
          <t>DINT_heifer</t>
        </is>
      </c>
      <c r="D23" s="3" t="inlineStr">
        <is>
          <t>anaerobic_digester</t>
        </is>
      </c>
      <c r="E23" s="2" t="n">
        <v>1</v>
      </c>
      <c r="F23" s="2" t="n">
        <v>9.550000000000001</v>
      </c>
      <c r="G23" s="6" t="n">
        <v>4.77</v>
      </c>
      <c r="H23" s="6" t="n">
        <v>14.33</v>
      </c>
      <c r="I23" s="3" t="inlineStr">
        <is>
          <t>normal</t>
        </is>
      </c>
      <c r="J23" s="2" t="n">
        <v>0.0005999999999999999</v>
      </c>
      <c r="K23" s="6" t="n">
        <v>1e-05</v>
      </c>
      <c r="L23" s="6" t="n">
        <v>0.00132</v>
      </c>
      <c r="M23" s="3" t="inlineStr">
        <is>
          <t>beta</t>
        </is>
      </c>
      <c r="N23" s="6" t="n">
        <v>0.13</v>
      </c>
      <c r="O23" s="2" t="n">
        <v>23</v>
      </c>
      <c r="P23" s="6" t="n">
        <v>7.1</v>
      </c>
      <c r="Q23" s="6" t="n">
        <v>50.9</v>
      </c>
      <c r="R23" s="23" t="inlineStr">
        <is>
          <t>pert</t>
        </is>
      </c>
      <c r="S23" s="2" t="n">
        <v>0</v>
      </c>
      <c r="T23" s="6" t="n">
        <v>0</v>
      </c>
      <c r="U23" s="6" t="n">
        <v>0</v>
      </c>
      <c r="V23" s="3" t="inlineStr">
        <is>
          <t>pert</t>
        </is>
      </c>
    </row>
    <row r="24">
      <c r="A24" s="21" t="inlineStr">
        <is>
          <t>dairy</t>
        </is>
      </c>
      <c r="B24" s="21" t="inlineStr">
        <is>
          <t>Intensive</t>
        </is>
      </c>
      <c r="C24" s="22" t="inlineStr">
        <is>
          <t>DINT_heifer</t>
        </is>
      </c>
      <c r="D24" s="3" t="inlineStr">
        <is>
          <t>pasture</t>
        </is>
      </c>
      <c r="E24" s="2" t="n">
        <v>27</v>
      </c>
      <c r="F24" s="2" t="n">
        <v>0.47</v>
      </c>
      <c r="G24" s="6" t="n">
        <v>0.235</v>
      </c>
      <c r="H24" s="6" t="n">
        <v>0.705</v>
      </c>
      <c r="I24" s="3" t="inlineStr">
        <is>
          <t>normal</t>
        </is>
      </c>
      <c r="J24" s="2" t="n">
        <v>0.006</v>
      </c>
      <c r="K24" s="6" t="n">
        <v>1e-05</v>
      </c>
      <c r="L24" s="6" t="n">
        <v>0.012</v>
      </c>
      <c r="M24" s="3" t="inlineStr">
        <is>
          <t>beta</t>
        </is>
      </c>
      <c r="N24" s="6" t="n">
        <v>0.13</v>
      </c>
      <c r="O24" s="2" t="n">
        <v>21</v>
      </c>
      <c r="P24" s="6" t="n">
        <v>7.41</v>
      </c>
      <c r="Q24" s="6" t="n">
        <v>28.66</v>
      </c>
      <c r="R24" s="23" t="inlineStr">
        <is>
          <t>pert</t>
        </is>
      </c>
      <c r="S24" s="2" t="n">
        <v>24</v>
      </c>
      <c r="T24" s="6" t="n">
        <v>1</v>
      </c>
      <c r="U24" s="6" t="n">
        <v>73</v>
      </c>
      <c r="V24" s="3" t="inlineStr">
        <is>
          <t>pert</t>
        </is>
      </c>
    </row>
    <row r="25">
      <c r="A25" s="21" t="inlineStr">
        <is>
          <t>dairy</t>
        </is>
      </c>
      <c r="B25" s="21" t="inlineStr">
        <is>
          <t>Intensive</t>
        </is>
      </c>
      <c r="C25" s="22" t="inlineStr">
        <is>
          <t>DINT_GrM</t>
        </is>
      </c>
      <c r="D25" s="3" t="inlineStr">
        <is>
          <t>lagoon</t>
        </is>
      </c>
      <c r="E25" s="2" t="n">
        <v>5</v>
      </c>
      <c r="F25" s="2" t="n">
        <v>76</v>
      </c>
      <c r="G25" s="6" t="n">
        <v>38</v>
      </c>
      <c r="H25" s="6" t="n">
        <v>114</v>
      </c>
      <c r="I25" s="3" t="inlineStr">
        <is>
          <t>normal</t>
        </is>
      </c>
      <c r="J25" s="2" t="n">
        <v>0</v>
      </c>
      <c r="K25" s="6" t="n">
        <v>0</v>
      </c>
      <c r="L25" s="6" t="n">
        <v>0</v>
      </c>
      <c r="M25" s="3" t="inlineStr">
        <is>
          <t>beta</t>
        </is>
      </c>
      <c r="N25" s="6" t="n">
        <v>0.13</v>
      </c>
      <c r="O25" s="2" t="n">
        <v>35</v>
      </c>
      <c r="P25" s="6" t="n">
        <v>23</v>
      </c>
      <c r="Q25" s="6" t="n">
        <v>63</v>
      </c>
      <c r="R25" s="23" t="inlineStr">
        <is>
          <t>pert</t>
        </is>
      </c>
      <c r="S25" s="2" t="n">
        <v>0</v>
      </c>
      <c r="T25" s="6" t="n">
        <v>0</v>
      </c>
      <c r="U25" s="6" t="n">
        <v>0</v>
      </c>
      <c r="V25" s="3" t="inlineStr">
        <is>
          <t>pert</t>
        </is>
      </c>
    </row>
    <row r="26">
      <c r="A26" s="21" t="inlineStr">
        <is>
          <t>dairy</t>
        </is>
      </c>
      <c r="B26" s="21" t="inlineStr">
        <is>
          <t>Intensive</t>
        </is>
      </c>
      <c r="C26" s="22" t="inlineStr">
        <is>
          <t>DINT_GrM</t>
        </is>
      </c>
      <c r="D26" s="3" t="inlineStr">
        <is>
          <t>liquid_slurry</t>
        </is>
      </c>
      <c r="E26" s="2" t="n">
        <v>4</v>
      </c>
      <c r="F26" s="2" t="n">
        <v>73</v>
      </c>
      <c r="G26" s="6" t="n">
        <v>36.5</v>
      </c>
      <c r="H26" s="6" t="n">
        <v>109.5</v>
      </c>
      <c r="I26" s="3" t="inlineStr">
        <is>
          <t>normal</t>
        </is>
      </c>
      <c r="J26" s="2" t="n">
        <v>0.005</v>
      </c>
      <c r="K26" s="6" t="n">
        <v>1e-05</v>
      </c>
      <c r="L26" s="6" t="n">
        <v>0.0111</v>
      </c>
      <c r="M26" s="3" t="inlineStr">
        <is>
          <t>beta</t>
        </is>
      </c>
      <c r="N26" s="6" t="n">
        <v>0.13</v>
      </c>
      <c r="O26" s="2" t="n">
        <v>48</v>
      </c>
      <c r="P26" s="6" t="n">
        <v>27.28</v>
      </c>
      <c r="Q26" s="6" t="n">
        <v>57.41</v>
      </c>
      <c r="R26" s="23" t="inlineStr">
        <is>
          <t>pert</t>
        </is>
      </c>
      <c r="S26" s="2" t="n">
        <v>0</v>
      </c>
      <c r="T26" s="6" t="n">
        <v>0</v>
      </c>
      <c r="U26" s="6" t="n">
        <v>0</v>
      </c>
      <c r="V26" s="3" t="inlineStr">
        <is>
          <t>pert</t>
        </is>
      </c>
    </row>
    <row r="27">
      <c r="A27" s="21" t="inlineStr">
        <is>
          <t>dairy</t>
        </is>
      </c>
      <c r="B27" s="21" t="inlineStr">
        <is>
          <t>Intensive</t>
        </is>
      </c>
      <c r="C27" s="22" t="inlineStr">
        <is>
          <t>DINT_GrM</t>
        </is>
      </c>
      <c r="D27" s="3" t="inlineStr">
        <is>
          <t>solid_storage</t>
        </is>
      </c>
      <c r="E27" s="2" t="n">
        <v>50</v>
      </c>
      <c r="F27" s="2" t="n">
        <v>5</v>
      </c>
      <c r="G27" s="6" t="n">
        <v>2.49</v>
      </c>
      <c r="H27" s="6" t="n">
        <v>7.51</v>
      </c>
      <c r="I27" s="3" t="inlineStr">
        <is>
          <t>normal</t>
        </is>
      </c>
      <c r="J27" s="2" t="n">
        <v>0.01</v>
      </c>
      <c r="K27" s="6" t="n">
        <v>0.0001</v>
      </c>
      <c r="L27" s="6" t="n">
        <v>0.0221</v>
      </c>
      <c r="M27" s="3" t="inlineStr">
        <is>
          <t>beta</t>
        </is>
      </c>
      <c r="N27" s="6" t="n">
        <v>0.13</v>
      </c>
      <c r="O27" s="2" t="n">
        <v>45</v>
      </c>
      <c r="P27" s="6" t="n">
        <v>21.9</v>
      </c>
      <c r="Q27" s="6" t="n">
        <v>60</v>
      </c>
      <c r="R27" s="23" t="inlineStr">
        <is>
          <t>pert</t>
        </is>
      </c>
      <c r="S27" s="2" t="n">
        <v>2</v>
      </c>
      <c r="T27" s="6" t="n">
        <v>0.41</v>
      </c>
      <c r="U27" s="6" t="n">
        <v>21.65</v>
      </c>
      <c r="V27" s="3" t="inlineStr">
        <is>
          <t>pert</t>
        </is>
      </c>
    </row>
    <row r="28">
      <c r="A28" s="21" t="inlineStr">
        <is>
          <t>dairy</t>
        </is>
      </c>
      <c r="B28" s="21" t="inlineStr">
        <is>
          <t>Intensive</t>
        </is>
      </c>
      <c r="C28" s="22" t="inlineStr">
        <is>
          <t>DINT_GrM</t>
        </is>
      </c>
      <c r="D28" s="3" t="inlineStr">
        <is>
          <t>dry_lot</t>
        </is>
      </c>
      <c r="E28" s="2" t="n">
        <v>8</v>
      </c>
      <c r="F28" s="2" t="n">
        <v>2</v>
      </c>
      <c r="G28" s="6" t="n">
        <v>1</v>
      </c>
      <c r="H28" s="6" t="n">
        <v>3</v>
      </c>
      <c r="I28" s="3" t="inlineStr">
        <is>
          <t>normal</t>
        </is>
      </c>
      <c r="J28" s="2" t="n">
        <v>0.02</v>
      </c>
      <c r="K28" s="6" t="n">
        <v>0.0001</v>
      </c>
      <c r="L28" s="6" t="n">
        <v>0.0442</v>
      </c>
      <c r="M28" s="3" t="inlineStr">
        <is>
          <t>beta</t>
        </is>
      </c>
      <c r="N28" s="6" t="n">
        <v>0.13</v>
      </c>
      <c r="O28" s="2" t="n">
        <v>30</v>
      </c>
      <c r="P28" s="6" t="n">
        <v>22.38</v>
      </c>
      <c r="Q28" s="6" t="n">
        <v>43.02</v>
      </c>
      <c r="R28" s="23" t="inlineStr">
        <is>
          <t>pert</t>
        </is>
      </c>
      <c r="S28" s="2" t="n">
        <v>3.5</v>
      </c>
      <c r="T28" s="6" t="n">
        <v>1.03</v>
      </c>
      <c r="U28" s="6" t="n">
        <v>5.97</v>
      </c>
      <c r="V28" s="3" t="inlineStr">
        <is>
          <t>pert</t>
        </is>
      </c>
    </row>
    <row r="29">
      <c r="A29" s="21" t="inlineStr">
        <is>
          <t>dairy</t>
        </is>
      </c>
      <c r="B29" s="21" t="inlineStr">
        <is>
          <t>Intensive</t>
        </is>
      </c>
      <c r="C29" s="22" t="inlineStr">
        <is>
          <t>DINT_GrM</t>
        </is>
      </c>
      <c r="D29" s="3" t="inlineStr">
        <is>
          <t>daily_spread</t>
        </is>
      </c>
      <c r="E29" s="2" t="n">
        <v>5</v>
      </c>
      <c r="F29" s="2" t="n">
        <v>1</v>
      </c>
      <c r="G29" s="6" t="n">
        <v>0.5</v>
      </c>
      <c r="H29" s="6" t="n">
        <v>1.5</v>
      </c>
      <c r="I29" s="3" t="inlineStr">
        <is>
          <t>normal</t>
        </is>
      </c>
      <c r="J29" s="2" t="n">
        <v>0</v>
      </c>
      <c r="K29" s="6" t="n">
        <v>0</v>
      </c>
      <c r="L29" s="6" t="n">
        <v>0</v>
      </c>
      <c r="M29" s="3" t="inlineStr">
        <is>
          <t>beta</t>
        </is>
      </c>
      <c r="N29" s="6" t="n">
        <v>0.13</v>
      </c>
      <c r="O29" s="2" t="n">
        <v>7</v>
      </c>
      <c r="P29" s="6" t="n">
        <v>5.5</v>
      </c>
      <c r="Q29" s="6" t="n">
        <v>35.5</v>
      </c>
      <c r="R29" s="23" t="inlineStr">
        <is>
          <t>pert</t>
        </is>
      </c>
      <c r="S29" s="2" t="n">
        <v>0</v>
      </c>
      <c r="T29" s="6" t="n">
        <v>0</v>
      </c>
      <c r="U29" s="6" t="n">
        <v>0</v>
      </c>
      <c r="V29" s="3" t="inlineStr">
        <is>
          <t>pert</t>
        </is>
      </c>
    </row>
    <row r="30">
      <c r="A30" s="21" t="inlineStr">
        <is>
          <t>dairy</t>
        </is>
      </c>
      <c r="B30" s="21" t="inlineStr">
        <is>
          <t>Intensive</t>
        </is>
      </c>
      <c r="C30" s="22" t="inlineStr">
        <is>
          <t>DINT_GrM</t>
        </is>
      </c>
      <c r="D30" s="3" t="inlineStr">
        <is>
          <t>anaerobic_digester</t>
        </is>
      </c>
      <c r="E30" s="2" t="n">
        <v>1</v>
      </c>
      <c r="F30" s="2" t="n">
        <v>9.550000000000001</v>
      </c>
      <c r="G30" s="6" t="n">
        <v>4.77</v>
      </c>
      <c r="H30" s="6" t="n">
        <v>14.33</v>
      </c>
      <c r="I30" s="3" t="inlineStr">
        <is>
          <t>normal</t>
        </is>
      </c>
      <c r="J30" s="2" t="n">
        <v>0.0005999999999999999</v>
      </c>
      <c r="K30" s="6" t="n">
        <v>1e-05</v>
      </c>
      <c r="L30" s="6" t="n">
        <v>0.00132</v>
      </c>
      <c r="M30" s="3" t="inlineStr">
        <is>
          <t>beta</t>
        </is>
      </c>
      <c r="N30" s="6" t="n">
        <v>0.13</v>
      </c>
      <c r="O30" s="2" t="n">
        <v>23</v>
      </c>
      <c r="P30" s="6" t="n">
        <v>7.1</v>
      </c>
      <c r="Q30" s="6" t="n">
        <v>50.9</v>
      </c>
      <c r="R30" s="23" t="inlineStr">
        <is>
          <t>pert</t>
        </is>
      </c>
      <c r="S30" s="2" t="n">
        <v>0</v>
      </c>
      <c r="T30" s="6" t="n">
        <v>0</v>
      </c>
      <c r="U30" s="6" t="n">
        <v>0</v>
      </c>
      <c r="V30" s="3" t="inlineStr">
        <is>
          <t>pert</t>
        </is>
      </c>
    </row>
    <row r="31">
      <c r="A31" s="21" t="inlineStr">
        <is>
          <t>dairy</t>
        </is>
      </c>
      <c r="B31" s="21" t="inlineStr">
        <is>
          <t>Intensive</t>
        </is>
      </c>
      <c r="C31" s="22" t="inlineStr">
        <is>
          <t>DINT_GrM</t>
        </is>
      </c>
      <c r="D31" s="3" t="inlineStr">
        <is>
          <t>pasture</t>
        </is>
      </c>
      <c r="E31" s="2" t="n">
        <v>27</v>
      </c>
      <c r="F31" s="2" t="n">
        <v>0.47</v>
      </c>
      <c r="G31" s="6" t="n">
        <v>0.235</v>
      </c>
      <c r="H31" s="6" t="n">
        <v>0.705</v>
      </c>
      <c r="I31" s="3" t="inlineStr">
        <is>
          <t>normal</t>
        </is>
      </c>
      <c r="J31" s="2" t="n">
        <v>0.006</v>
      </c>
      <c r="K31" s="6" t="n">
        <v>1e-05</v>
      </c>
      <c r="L31" s="6" t="n">
        <v>0.012</v>
      </c>
      <c r="M31" s="3" t="inlineStr">
        <is>
          <t>beta</t>
        </is>
      </c>
      <c r="N31" s="6" t="n">
        <v>0.13</v>
      </c>
      <c r="O31" s="2" t="n">
        <v>21</v>
      </c>
      <c r="P31" s="6" t="n">
        <v>7.41</v>
      </c>
      <c r="Q31" s="6" t="n">
        <v>28.66</v>
      </c>
      <c r="R31" s="23" t="inlineStr">
        <is>
          <t>pert</t>
        </is>
      </c>
      <c r="S31" s="2" t="n">
        <v>24</v>
      </c>
      <c r="T31" s="6" t="n">
        <v>1</v>
      </c>
      <c r="U31" s="6" t="n">
        <v>73</v>
      </c>
      <c r="V31" s="3" t="inlineStr">
        <is>
          <t>pert</t>
        </is>
      </c>
    </row>
    <row r="32">
      <c r="A32" s="21" t="inlineStr">
        <is>
          <t>dairy</t>
        </is>
      </c>
      <c r="B32" s="21" t="inlineStr">
        <is>
          <t>Intensive</t>
        </is>
      </c>
      <c r="C32" s="22" t="inlineStr">
        <is>
          <t>DINT_calves</t>
        </is>
      </c>
      <c r="D32" s="3" t="inlineStr">
        <is>
          <t>lagoon</t>
        </is>
      </c>
      <c r="E32" s="2" t="n">
        <v>5</v>
      </c>
      <c r="F32" s="2" t="n">
        <v>76</v>
      </c>
      <c r="G32" s="6" t="n">
        <v>38</v>
      </c>
      <c r="H32" s="6" t="n">
        <v>114</v>
      </c>
      <c r="I32" s="3" t="inlineStr">
        <is>
          <t>normal</t>
        </is>
      </c>
      <c r="J32" s="2" t="n">
        <v>0</v>
      </c>
      <c r="K32" s="6" t="n">
        <v>0</v>
      </c>
      <c r="L32" s="6" t="n">
        <v>0</v>
      </c>
      <c r="M32" s="3" t="inlineStr">
        <is>
          <t>beta</t>
        </is>
      </c>
      <c r="N32" s="6" t="n">
        <v>0.13</v>
      </c>
      <c r="O32" s="2" t="n">
        <v>35</v>
      </c>
      <c r="P32" s="6" t="n">
        <v>23</v>
      </c>
      <c r="Q32" s="6" t="n">
        <v>63</v>
      </c>
      <c r="R32" s="23" t="inlineStr">
        <is>
          <t>pert</t>
        </is>
      </c>
      <c r="S32" s="2" t="n">
        <v>0</v>
      </c>
      <c r="T32" s="6" t="n">
        <v>0</v>
      </c>
      <c r="U32" s="6" t="n">
        <v>0</v>
      </c>
      <c r="V32" s="3" t="inlineStr">
        <is>
          <t>pert</t>
        </is>
      </c>
    </row>
    <row r="33">
      <c r="A33" s="21" t="inlineStr">
        <is>
          <t>dairy</t>
        </is>
      </c>
      <c r="B33" s="21" t="inlineStr">
        <is>
          <t>Intensive</t>
        </is>
      </c>
      <c r="C33" s="22" t="inlineStr">
        <is>
          <t>DINT_calves</t>
        </is>
      </c>
      <c r="D33" s="3" t="inlineStr">
        <is>
          <t>liquid_slurry</t>
        </is>
      </c>
      <c r="E33" s="2" t="n">
        <v>4</v>
      </c>
      <c r="F33" s="2" t="n">
        <v>73</v>
      </c>
      <c r="G33" s="6" t="n">
        <v>36.5</v>
      </c>
      <c r="H33" s="6" t="n">
        <v>109.5</v>
      </c>
      <c r="I33" s="3" t="inlineStr">
        <is>
          <t>normal</t>
        </is>
      </c>
      <c r="J33" s="2" t="n">
        <v>0.005</v>
      </c>
      <c r="K33" s="6" t="n">
        <v>1e-05</v>
      </c>
      <c r="L33" s="6" t="n">
        <v>0.0111</v>
      </c>
      <c r="M33" s="3" t="inlineStr">
        <is>
          <t>beta</t>
        </is>
      </c>
      <c r="N33" s="6" t="n">
        <v>0.13</v>
      </c>
      <c r="O33" s="2" t="n">
        <v>48</v>
      </c>
      <c r="P33" s="6" t="n">
        <v>27.28</v>
      </c>
      <c r="Q33" s="6" t="n">
        <v>57.41</v>
      </c>
      <c r="R33" s="23" t="inlineStr">
        <is>
          <t>pert</t>
        </is>
      </c>
      <c r="S33" s="2" t="n">
        <v>0</v>
      </c>
      <c r="T33" s="6" t="n">
        <v>0</v>
      </c>
      <c r="U33" s="6" t="n">
        <v>0</v>
      </c>
      <c r="V33" s="3" t="inlineStr">
        <is>
          <t>pert</t>
        </is>
      </c>
    </row>
    <row r="34">
      <c r="A34" s="21" t="inlineStr">
        <is>
          <t>dairy</t>
        </is>
      </c>
      <c r="B34" s="21" t="inlineStr">
        <is>
          <t>Intensive</t>
        </is>
      </c>
      <c r="C34" s="22" t="inlineStr">
        <is>
          <t>DINT_calves</t>
        </is>
      </c>
      <c r="D34" s="3" t="inlineStr">
        <is>
          <t>solid_storage</t>
        </is>
      </c>
      <c r="E34" s="2" t="n">
        <v>50</v>
      </c>
      <c r="F34" s="2" t="n">
        <v>5</v>
      </c>
      <c r="G34" s="6" t="n">
        <v>2.49</v>
      </c>
      <c r="H34" s="6" t="n">
        <v>7.51</v>
      </c>
      <c r="I34" s="3" t="inlineStr">
        <is>
          <t>normal</t>
        </is>
      </c>
      <c r="J34" s="2" t="n">
        <v>0.01</v>
      </c>
      <c r="K34" s="6" t="n">
        <v>0.0001</v>
      </c>
      <c r="L34" s="6" t="n">
        <v>0.0221</v>
      </c>
      <c r="M34" s="3" t="inlineStr">
        <is>
          <t>beta</t>
        </is>
      </c>
      <c r="N34" s="6" t="n">
        <v>0.13</v>
      </c>
      <c r="O34" s="2" t="n">
        <v>45</v>
      </c>
      <c r="P34" s="6" t="n">
        <v>21.9</v>
      </c>
      <c r="Q34" s="6" t="n">
        <v>60</v>
      </c>
      <c r="R34" s="23" t="inlineStr">
        <is>
          <t>pert</t>
        </is>
      </c>
      <c r="S34" s="2" t="n">
        <v>2</v>
      </c>
      <c r="T34" s="6" t="n">
        <v>0.41</v>
      </c>
      <c r="U34" s="6" t="n">
        <v>21.65</v>
      </c>
      <c r="V34" s="3" t="inlineStr">
        <is>
          <t>pert</t>
        </is>
      </c>
    </row>
    <row r="35">
      <c r="A35" s="21" t="inlineStr">
        <is>
          <t>dairy</t>
        </is>
      </c>
      <c r="B35" s="21" t="inlineStr">
        <is>
          <t>Intensive</t>
        </is>
      </c>
      <c r="C35" s="22" t="inlineStr">
        <is>
          <t>DINT_calves</t>
        </is>
      </c>
      <c r="D35" s="3" t="inlineStr">
        <is>
          <t>dry_lot</t>
        </is>
      </c>
      <c r="E35" s="2" t="n">
        <v>8</v>
      </c>
      <c r="F35" s="2" t="n">
        <v>2</v>
      </c>
      <c r="G35" s="6" t="n">
        <v>1</v>
      </c>
      <c r="H35" s="6" t="n">
        <v>3</v>
      </c>
      <c r="I35" s="3" t="inlineStr">
        <is>
          <t>normal</t>
        </is>
      </c>
      <c r="J35" s="2" t="n">
        <v>0.02</v>
      </c>
      <c r="K35" s="6" t="n">
        <v>0.0001</v>
      </c>
      <c r="L35" s="6" t="n">
        <v>0.0442</v>
      </c>
      <c r="M35" s="3" t="inlineStr">
        <is>
          <t>beta</t>
        </is>
      </c>
      <c r="N35" s="6" t="n">
        <v>0.13</v>
      </c>
      <c r="O35" s="2" t="n">
        <v>30</v>
      </c>
      <c r="P35" s="6" t="n">
        <v>22.38</v>
      </c>
      <c r="Q35" s="6" t="n">
        <v>43.02</v>
      </c>
      <c r="R35" s="23" t="inlineStr">
        <is>
          <t>pert</t>
        </is>
      </c>
      <c r="S35" s="2" t="n">
        <v>3.5</v>
      </c>
      <c r="T35" s="6" t="n">
        <v>1.03</v>
      </c>
      <c r="U35" s="6" t="n">
        <v>5.97</v>
      </c>
      <c r="V35" s="3" t="inlineStr">
        <is>
          <t>pert</t>
        </is>
      </c>
    </row>
    <row r="36">
      <c r="A36" s="21" t="inlineStr">
        <is>
          <t>dairy</t>
        </is>
      </c>
      <c r="B36" s="21" t="inlineStr">
        <is>
          <t>Intensive</t>
        </is>
      </c>
      <c r="C36" s="22" t="inlineStr">
        <is>
          <t>DINT_calves</t>
        </is>
      </c>
      <c r="D36" s="3" t="inlineStr">
        <is>
          <t>daily_spread</t>
        </is>
      </c>
      <c r="E36" s="2" t="n">
        <v>5</v>
      </c>
      <c r="F36" s="2" t="n">
        <v>1</v>
      </c>
      <c r="G36" s="6" t="n">
        <v>0.5</v>
      </c>
      <c r="H36" s="6" t="n">
        <v>1.5</v>
      </c>
      <c r="I36" s="3" t="inlineStr">
        <is>
          <t>normal</t>
        </is>
      </c>
      <c r="J36" s="2" t="n">
        <v>0</v>
      </c>
      <c r="K36" s="6" t="n">
        <v>0</v>
      </c>
      <c r="L36" s="6" t="n">
        <v>0</v>
      </c>
      <c r="M36" s="3" t="inlineStr">
        <is>
          <t>beta</t>
        </is>
      </c>
      <c r="N36" s="6" t="n">
        <v>0.13</v>
      </c>
      <c r="O36" s="2" t="n">
        <v>7</v>
      </c>
      <c r="P36" s="6" t="n">
        <v>5.5</v>
      </c>
      <c r="Q36" s="6" t="n">
        <v>35.5</v>
      </c>
      <c r="R36" s="23" t="inlineStr">
        <is>
          <t>pert</t>
        </is>
      </c>
      <c r="S36" s="2" t="n">
        <v>0</v>
      </c>
      <c r="T36" s="6" t="n">
        <v>0</v>
      </c>
      <c r="U36" s="6" t="n">
        <v>0</v>
      </c>
      <c r="V36" s="3" t="inlineStr">
        <is>
          <t>pert</t>
        </is>
      </c>
    </row>
    <row r="37">
      <c r="A37" s="21" t="inlineStr">
        <is>
          <t>dairy</t>
        </is>
      </c>
      <c r="B37" s="21" t="inlineStr">
        <is>
          <t>Intensive</t>
        </is>
      </c>
      <c r="C37" s="22" t="inlineStr">
        <is>
          <t>DINT_calves</t>
        </is>
      </c>
      <c r="D37" s="3" t="inlineStr">
        <is>
          <t>anaerobic_digester</t>
        </is>
      </c>
      <c r="E37" s="2" t="n">
        <v>1</v>
      </c>
      <c r="F37" s="2" t="n">
        <v>9.550000000000001</v>
      </c>
      <c r="G37" s="6" t="n">
        <v>4.77</v>
      </c>
      <c r="H37" s="6" t="n">
        <v>14.33</v>
      </c>
      <c r="I37" s="3" t="inlineStr">
        <is>
          <t>normal</t>
        </is>
      </c>
      <c r="J37" s="2" t="n">
        <v>0.0005999999999999999</v>
      </c>
      <c r="K37" s="6" t="n">
        <v>1e-05</v>
      </c>
      <c r="L37" s="6" t="n">
        <v>0.00132</v>
      </c>
      <c r="M37" s="3" t="inlineStr">
        <is>
          <t>beta</t>
        </is>
      </c>
      <c r="N37" s="6" t="n">
        <v>0.13</v>
      </c>
      <c r="O37" s="2" t="n">
        <v>23</v>
      </c>
      <c r="P37" s="6" t="n">
        <v>7.1</v>
      </c>
      <c r="Q37" s="6" t="n">
        <v>50.9</v>
      </c>
      <c r="R37" s="23" t="inlineStr">
        <is>
          <t>pert</t>
        </is>
      </c>
      <c r="S37" s="2" t="n">
        <v>0</v>
      </c>
      <c r="T37" s="6" t="n">
        <v>0</v>
      </c>
      <c r="U37" s="6" t="n">
        <v>0</v>
      </c>
      <c r="V37" s="3" t="inlineStr">
        <is>
          <t>pert</t>
        </is>
      </c>
    </row>
    <row r="38">
      <c r="A38" s="21" t="inlineStr">
        <is>
          <t>dairy</t>
        </is>
      </c>
      <c r="B38" s="21" t="inlineStr">
        <is>
          <t>Intensive</t>
        </is>
      </c>
      <c r="C38" s="22" t="inlineStr">
        <is>
          <t>DINT_calves</t>
        </is>
      </c>
      <c r="D38" s="3" t="inlineStr">
        <is>
          <t>pasture</t>
        </is>
      </c>
      <c r="E38" s="2" t="n">
        <v>27</v>
      </c>
      <c r="F38" s="2" t="n">
        <v>0.47</v>
      </c>
      <c r="G38" s="6" t="n">
        <v>0.235</v>
      </c>
      <c r="H38" s="6" t="n">
        <v>0.705</v>
      </c>
      <c r="I38" s="3" t="inlineStr">
        <is>
          <t>normal</t>
        </is>
      </c>
      <c r="J38" s="2" t="n">
        <v>0.006</v>
      </c>
      <c r="K38" s="6" t="n">
        <v>1e-05</v>
      </c>
      <c r="L38" s="6" t="n">
        <v>0.012</v>
      </c>
      <c r="M38" s="3" t="inlineStr">
        <is>
          <t>beta</t>
        </is>
      </c>
      <c r="N38" s="6" t="n">
        <v>0.13</v>
      </c>
      <c r="O38" s="2" t="n">
        <v>21</v>
      </c>
      <c r="P38" s="6" t="n">
        <v>7.41</v>
      </c>
      <c r="Q38" s="6" t="n">
        <v>28.66</v>
      </c>
      <c r="R38" s="23" t="inlineStr">
        <is>
          <t>pert</t>
        </is>
      </c>
      <c r="S38" s="2" t="n">
        <v>24</v>
      </c>
      <c r="T38" s="6" t="n">
        <v>1</v>
      </c>
      <c r="U38" s="6" t="n">
        <v>73</v>
      </c>
      <c r="V38" s="3" t="inlineStr">
        <is>
          <t>pert</t>
        </is>
      </c>
    </row>
    <row r="39">
      <c r="A39" s="2" t="n"/>
      <c r="B39" s="21" t="n"/>
      <c r="C39" s="22" t="n"/>
      <c r="D39" s="3" t="n"/>
      <c r="E39" s="2" t="n"/>
      <c r="F39" s="2" t="n"/>
      <c r="G39" s="6" t="n"/>
      <c r="H39" s="6" t="n"/>
      <c r="I39" s="3" t="n"/>
      <c r="J39" s="2" t="n"/>
      <c r="K39" s="6" t="n"/>
      <c r="L39" s="6" t="n"/>
      <c r="M39" s="3" t="n"/>
      <c r="N39" s="6" t="n"/>
      <c r="O39" s="2" t="n"/>
      <c r="P39" s="6" t="n"/>
      <c r="Q39" s="6" t="n"/>
      <c r="R39" s="3" t="n"/>
      <c r="S39" s="2" t="n"/>
      <c r="T39" s="6" t="n"/>
      <c r="U39" s="6" t="n"/>
      <c r="V39" s="3" t="n"/>
    </row>
    <row r="40">
      <c r="A40" s="2" t="n"/>
      <c r="B40" s="21" t="n"/>
      <c r="C40" s="22" t="n"/>
      <c r="D40" s="3" t="n"/>
      <c r="E40" s="2" t="n"/>
      <c r="F40" s="2" t="n"/>
      <c r="G40" s="6" t="n"/>
      <c r="H40" s="6" t="n"/>
      <c r="I40" s="3" t="n"/>
      <c r="J40" s="2" t="n"/>
      <c r="K40" s="6" t="n"/>
      <c r="L40" s="6" t="n"/>
      <c r="M40" s="3" t="n"/>
      <c r="N40" s="6" t="n"/>
      <c r="O40" s="2" t="n"/>
      <c r="P40" s="6" t="n"/>
      <c r="Q40" s="6" t="n"/>
      <c r="R40" s="3" t="n"/>
      <c r="S40" s="2" t="n"/>
      <c r="T40" s="6" t="n"/>
      <c r="U40" s="6" t="n"/>
      <c r="V40" s="3" t="n"/>
    </row>
    <row r="41">
      <c r="A41" s="2" t="n"/>
      <c r="B41" s="21" t="n"/>
      <c r="C41" s="22" t="n"/>
      <c r="D41" s="3" t="n"/>
      <c r="E41" s="2" t="n"/>
      <c r="F41" s="2" t="n"/>
      <c r="G41" s="6" t="n"/>
      <c r="H41" s="6" t="n"/>
      <c r="I41" s="3" t="n"/>
      <c r="J41" s="2" t="n"/>
      <c r="K41" s="6" t="n"/>
      <c r="L41" s="6" t="n"/>
      <c r="M41" s="3" t="n"/>
      <c r="N41" s="6" t="n"/>
      <c r="O41" s="2" t="n"/>
      <c r="P41" s="6" t="n"/>
      <c r="Q41" s="6" t="n"/>
      <c r="R41" s="3" t="n"/>
      <c r="S41" s="2" t="n"/>
      <c r="T41" s="6" t="n"/>
      <c r="U41" s="6" t="n"/>
      <c r="V41" s="3" t="n"/>
    </row>
    <row r="42">
      <c r="A42" s="2" t="n"/>
      <c r="B42" s="21" t="n"/>
      <c r="C42" s="22" t="n"/>
      <c r="D42" s="3" t="n"/>
      <c r="E42" s="2" t="n"/>
      <c r="F42" s="2" t="n"/>
      <c r="G42" s="6" t="n"/>
      <c r="H42" s="6" t="n"/>
      <c r="I42" s="3" t="n"/>
      <c r="J42" s="2" t="n"/>
      <c r="K42" s="6" t="n"/>
      <c r="L42" s="6" t="n"/>
      <c r="M42" s="3" t="n"/>
      <c r="N42" s="6" t="n"/>
      <c r="O42" s="2" t="n"/>
      <c r="P42" s="6" t="n"/>
      <c r="Q42" s="6" t="n"/>
      <c r="R42" s="3" t="n"/>
      <c r="S42" s="2" t="n"/>
      <c r="T42" s="6" t="n"/>
      <c r="U42" s="6" t="n"/>
      <c r="V42" s="3" t="n"/>
    </row>
    <row r="43">
      <c r="A43" s="2" t="n"/>
      <c r="B43" s="21" t="n"/>
      <c r="C43" s="22" t="n"/>
      <c r="D43" s="3" t="n"/>
      <c r="E43" s="2" t="n"/>
      <c r="F43" s="2" t="n"/>
      <c r="G43" s="6" t="n"/>
      <c r="H43" s="6" t="n"/>
      <c r="I43" s="3" t="n"/>
      <c r="J43" s="2" t="n"/>
      <c r="K43" s="6" t="n"/>
      <c r="L43" s="6" t="n"/>
      <c r="M43" s="3" t="n"/>
      <c r="N43" s="6" t="n"/>
      <c r="O43" s="2" t="n"/>
      <c r="P43" s="6" t="n"/>
      <c r="Q43" s="6" t="n"/>
      <c r="R43" s="3" t="n"/>
      <c r="S43" s="2" t="n"/>
      <c r="T43" s="6" t="n"/>
      <c r="U43" s="6" t="n"/>
      <c r="V43" s="3" t="n"/>
    </row>
    <row r="44">
      <c r="A44" s="2" t="n"/>
      <c r="B44" s="21" t="n"/>
      <c r="C44" s="22" t="n"/>
      <c r="D44" s="3" t="n"/>
      <c r="E44" s="2" t="n"/>
      <c r="F44" s="2" t="n"/>
      <c r="G44" s="6" t="n"/>
      <c r="H44" s="6" t="n"/>
      <c r="I44" s="3" t="n"/>
      <c r="J44" s="2" t="n"/>
      <c r="K44" s="6" t="n"/>
      <c r="L44" s="6" t="n"/>
      <c r="M44" s="3" t="n"/>
      <c r="N44" s="6" t="n"/>
      <c r="O44" s="2" t="n"/>
      <c r="P44" s="6" t="n"/>
      <c r="Q44" s="6" t="n"/>
      <c r="R44" s="3" t="n"/>
      <c r="S44" s="2" t="n"/>
      <c r="T44" s="6" t="n"/>
      <c r="U44" s="6" t="n"/>
      <c r="V44" s="3" t="n"/>
    </row>
    <row r="45">
      <c r="A45" s="2" t="n"/>
      <c r="B45" s="21" t="n"/>
      <c r="C45" s="22" t="n"/>
      <c r="D45" s="3" t="n"/>
      <c r="E45" s="2" t="n"/>
      <c r="F45" s="2" t="n"/>
      <c r="G45" s="6" t="n"/>
      <c r="H45" s="6" t="n"/>
      <c r="I45" s="3" t="n"/>
      <c r="J45" s="2" t="n"/>
      <c r="K45" s="6" t="n"/>
      <c r="L45" s="6" t="n"/>
      <c r="M45" s="3" t="n"/>
      <c r="N45" s="6" t="n"/>
      <c r="O45" s="2" t="n"/>
      <c r="P45" s="6" t="n"/>
      <c r="Q45" s="6" t="n"/>
      <c r="R45" s="3" t="n"/>
      <c r="S45" s="2" t="n"/>
      <c r="T45" s="6" t="n"/>
      <c r="U45" s="6" t="n"/>
      <c r="V45" s="3" t="n"/>
    </row>
    <row r="46">
      <c r="A46" s="2" t="n"/>
      <c r="B46" s="21" t="n"/>
      <c r="C46" s="22" t="n"/>
      <c r="D46" s="3" t="n"/>
      <c r="E46" s="2" t="n"/>
      <c r="F46" s="2" t="n"/>
      <c r="G46" s="6" t="n"/>
      <c r="H46" s="6" t="n"/>
      <c r="I46" s="3" t="n"/>
      <c r="J46" s="2" t="n"/>
      <c r="K46" s="6" t="n"/>
      <c r="L46" s="6" t="n"/>
      <c r="M46" s="3" t="n"/>
      <c r="N46" s="6" t="n"/>
      <c r="O46" s="2" t="n"/>
      <c r="P46" s="6" t="n"/>
      <c r="Q46" s="6" t="n"/>
      <c r="R46" s="3" t="n"/>
      <c r="S46" s="2" t="n"/>
      <c r="T46" s="6" t="n"/>
      <c r="U46" s="6" t="n"/>
      <c r="V46" s="3" t="n"/>
    </row>
    <row r="47">
      <c r="A47" s="2" t="n"/>
      <c r="B47" s="21" t="n"/>
      <c r="C47" s="22" t="n"/>
      <c r="D47" s="3" t="n"/>
      <c r="E47" s="2" t="n"/>
      <c r="F47" s="2" t="n"/>
      <c r="G47" s="6" t="n"/>
      <c r="H47" s="6" t="n"/>
      <c r="I47" s="3" t="n"/>
      <c r="J47" s="2" t="n"/>
      <c r="K47" s="6" t="n"/>
      <c r="L47" s="6" t="n"/>
      <c r="M47" s="3" t="n"/>
      <c r="N47" s="6" t="n"/>
      <c r="O47" s="2" t="n"/>
      <c r="P47" s="6" t="n"/>
      <c r="Q47" s="6" t="n"/>
      <c r="R47" s="3" t="n"/>
      <c r="S47" s="2" t="n"/>
      <c r="T47" s="6" t="n"/>
      <c r="U47" s="6" t="n"/>
      <c r="V47" s="3" t="n"/>
    </row>
    <row r="48">
      <c r="A48" s="2" t="n"/>
      <c r="B48" s="21" t="n"/>
      <c r="C48" s="22" t="n"/>
      <c r="D48" s="3" t="n"/>
      <c r="E48" s="2" t="n"/>
      <c r="F48" s="2" t="n"/>
      <c r="G48" s="6" t="n"/>
      <c r="H48" s="6" t="n"/>
      <c r="I48" s="3" t="n"/>
      <c r="J48" s="2" t="n"/>
      <c r="K48" s="6" t="n"/>
      <c r="L48" s="6" t="n"/>
      <c r="M48" s="3" t="n"/>
      <c r="N48" s="6" t="n"/>
      <c r="O48" s="2" t="n"/>
      <c r="P48" s="6" t="n"/>
      <c r="Q48" s="6" t="n"/>
      <c r="R48" s="3" t="n"/>
      <c r="S48" s="2" t="n"/>
      <c r="T48" s="6" t="n"/>
      <c r="U48" s="6" t="n"/>
      <c r="V48" s="3" t="n"/>
    </row>
    <row r="49">
      <c r="A49" s="2" t="n"/>
      <c r="B49" s="21" t="n"/>
      <c r="C49" s="22" t="n"/>
      <c r="D49" s="3" t="n"/>
      <c r="E49" s="2" t="n"/>
      <c r="F49" s="2" t="n"/>
      <c r="G49" s="6" t="n"/>
      <c r="H49" s="6" t="n"/>
      <c r="I49" s="3" t="n"/>
      <c r="J49" s="2" t="n"/>
      <c r="K49" s="6" t="n"/>
      <c r="L49" s="6" t="n"/>
      <c r="M49" s="3" t="n"/>
      <c r="N49" s="6" t="n"/>
      <c r="O49" s="2" t="n"/>
      <c r="P49" s="6" t="n"/>
      <c r="Q49" s="6" t="n"/>
      <c r="R49" s="3" t="n"/>
      <c r="S49" s="2" t="n"/>
      <c r="T49" s="6" t="n"/>
      <c r="U49" s="6" t="n"/>
      <c r="V49" s="3" t="n"/>
    </row>
    <row r="50">
      <c r="A50" s="2" t="n"/>
      <c r="B50" s="21" t="n"/>
      <c r="C50" s="22" t="n"/>
      <c r="D50" s="3" t="n"/>
      <c r="E50" s="2" t="n"/>
      <c r="F50" s="2" t="n"/>
      <c r="G50" s="6" t="n"/>
      <c r="H50" s="6" t="n"/>
      <c r="I50" s="3" t="n"/>
      <c r="J50" s="2" t="n"/>
      <c r="K50" s="6" t="n"/>
      <c r="L50" s="6" t="n"/>
      <c r="M50" s="3" t="n"/>
      <c r="N50" s="6" t="n"/>
      <c r="O50" s="2" t="n"/>
      <c r="P50" s="6" t="n"/>
      <c r="Q50" s="6" t="n"/>
      <c r="R50" s="3" t="n"/>
      <c r="S50" s="2" t="n"/>
      <c r="T50" s="6" t="n"/>
      <c r="U50" s="6" t="n"/>
      <c r="V50" s="3" t="n"/>
    </row>
    <row r="51">
      <c r="A51" s="2" t="n"/>
      <c r="B51" s="21" t="n"/>
      <c r="C51" s="22" t="n"/>
      <c r="D51" s="3" t="n"/>
      <c r="E51" s="2" t="n"/>
      <c r="F51" s="2" t="n"/>
      <c r="G51" s="6" t="n"/>
      <c r="H51" s="6" t="n"/>
      <c r="I51" s="3" t="n"/>
      <c r="J51" s="2" t="n"/>
      <c r="K51" s="6" t="n"/>
      <c r="L51" s="6" t="n"/>
      <c r="M51" s="3" t="n"/>
      <c r="N51" s="6" t="n"/>
      <c r="O51" s="2" t="n"/>
      <c r="P51" s="6" t="n"/>
      <c r="Q51" s="6" t="n"/>
      <c r="R51" s="3" t="n"/>
      <c r="S51" s="2" t="n"/>
      <c r="T51" s="6" t="n"/>
      <c r="U51" s="6" t="n"/>
      <c r="V51" s="3" t="n"/>
    </row>
    <row r="52">
      <c r="A52" s="2" t="n"/>
      <c r="B52" s="21" t="n"/>
      <c r="C52" s="22" t="n"/>
      <c r="D52" s="3" t="n"/>
      <c r="E52" s="2" t="n"/>
      <c r="F52" s="2" t="n"/>
      <c r="G52" s="6" t="n"/>
      <c r="H52" s="6" t="n"/>
      <c r="I52" s="3" t="n"/>
      <c r="J52" s="2" t="n"/>
      <c r="K52" s="6" t="n"/>
      <c r="L52" s="6" t="n"/>
      <c r="M52" s="3" t="n"/>
      <c r="N52" s="6" t="n"/>
      <c r="O52" s="2" t="n"/>
      <c r="P52" s="6" t="n"/>
      <c r="Q52" s="6" t="n"/>
      <c r="R52" s="3" t="n"/>
      <c r="S52" s="2" t="n"/>
      <c r="T52" s="6" t="n"/>
      <c r="U52" s="6" t="n"/>
      <c r="V52" s="3" t="n"/>
    </row>
    <row r="53">
      <c r="A53" s="2" t="n"/>
      <c r="B53" s="21" t="n"/>
      <c r="C53" s="22" t="n"/>
      <c r="D53" s="3" t="n"/>
      <c r="E53" s="2" t="n"/>
      <c r="F53" s="2" t="n"/>
      <c r="G53" s="6" t="n"/>
      <c r="H53" s="6" t="n"/>
      <c r="I53" s="3" t="n"/>
      <c r="J53" s="2" t="n"/>
      <c r="K53" s="6" t="n"/>
      <c r="L53" s="6" t="n"/>
      <c r="M53" s="3" t="n"/>
      <c r="N53" s="6" t="n"/>
      <c r="O53" s="2" t="n"/>
      <c r="P53" s="6" t="n"/>
      <c r="Q53" s="6" t="n"/>
      <c r="R53" s="3" t="n"/>
      <c r="S53" s="2" t="n"/>
      <c r="T53" s="6" t="n"/>
      <c r="U53" s="6" t="n"/>
      <c r="V53" s="3" t="n"/>
    </row>
    <row r="54">
      <c r="A54" s="2" t="n"/>
      <c r="B54" s="21" t="n"/>
      <c r="C54" s="22" t="n"/>
      <c r="D54" s="3" t="n"/>
      <c r="E54" s="2" t="n"/>
      <c r="F54" s="2" t="n"/>
      <c r="G54" s="6" t="n"/>
      <c r="H54" s="6" t="n"/>
      <c r="I54" s="3" t="n"/>
      <c r="J54" s="2" t="n"/>
      <c r="K54" s="6" t="n"/>
      <c r="L54" s="6" t="n"/>
      <c r="M54" s="3" t="n"/>
      <c r="N54" s="6" t="n"/>
      <c r="O54" s="2" t="n"/>
      <c r="P54" s="6" t="n"/>
      <c r="Q54" s="6" t="n"/>
      <c r="R54" s="3" t="n"/>
      <c r="S54" s="2" t="n"/>
      <c r="T54" s="6" t="n"/>
      <c r="U54" s="6" t="n"/>
      <c r="V54" s="3" t="n"/>
    </row>
    <row r="55">
      <c r="A55" s="2" t="n"/>
      <c r="B55" s="21" t="n"/>
      <c r="C55" s="22" t="n"/>
      <c r="D55" s="3" t="n"/>
      <c r="E55" s="2" t="n"/>
      <c r="F55" s="2" t="n"/>
      <c r="G55" s="6" t="n"/>
      <c r="H55" s="6" t="n"/>
      <c r="I55" s="3" t="n"/>
      <c r="J55" s="2" t="n"/>
      <c r="K55" s="6" t="n"/>
      <c r="L55" s="6" t="n"/>
      <c r="M55" s="3" t="n"/>
      <c r="N55" s="6" t="n"/>
      <c r="O55" s="2" t="n"/>
      <c r="P55" s="6" t="n"/>
      <c r="Q55" s="6" t="n"/>
      <c r="R55" s="3" t="n"/>
      <c r="S55" s="2" t="n"/>
      <c r="T55" s="6" t="n"/>
      <c r="U55" s="6" t="n"/>
      <c r="V55" s="3" t="n"/>
    </row>
    <row r="56">
      <c r="A56" s="2" t="n"/>
      <c r="B56" s="21" t="n"/>
      <c r="C56" s="22" t="n"/>
      <c r="D56" s="3" t="n"/>
      <c r="E56" s="2" t="n"/>
      <c r="F56" s="2" t="n"/>
      <c r="G56" s="6" t="n"/>
      <c r="H56" s="6" t="n"/>
      <c r="I56" s="3" t="n"/>
      <c r="J56" s="2" t="n"/>
      <c r="K56" s="6" t="n"/>
      <c r="L56" s="6" t="n"/>
      <c r="M56" s="3" t="n"/>
      <c r="N56" s="6" t="n"/>
      <c r="O56" s="2" t="n"/>
      <c r="P56" s="6" t="n"/>
      <c r="Q56" s="6" t="n"/>
      <c r="R56" s="3" t="n"/>
      <c r="S56" s="2" t="n"/>
      <c r="T56" s="6" t="n"/>
      <c r="U56" s="6" t="n"/>
      <c r="V56" s="3" t="n"/>
    </row>
    <row r="57">
      <c r="A57" s="2" t="n"/>
      <c r="B57" s="21" t="n"/>
      <c r="C57" s="22" t="n"/>
      <c r="D57" s="3" t="n"/>
      <c r="E57" s="2" t="n"/>
      <c r="F57" s="2" t="n"/>
      <c r="G57" s="6" t="n"/>
      <c r="H57" s="6" t="n"/>
      <c r="I57" s="3" t="n"/>
      <c r="J57" s="2" t="n"/>
      <c r="K57" s="6" t="n"/>
      <c r="L57" s="6" t="n"/>
      <c r="M57" s="3" t="n"/>
      <c r="N57" s="6" t="n"/>
      <c r="O57" s="2" t="n"/>
      <c r="P57" s="6" t="n"/>
      <c r="Q57" s="6" t="n"/>
      <c r="R57" s="3" t="n"/>
      <c r="S57" s="2" t="n"/>
      <c r="T57" s="6" t="n"/>
      <c r="U57" s="6" t="n"/>
      <c r="V57" s="3" t="n"/>
    </row>
    <row r="58">
      <c r="A58" s="2" t="n"/>
      <c r="B58" s="21" t="n"/>
      <c r="C58" s="22" t="n"/>
      <c r="D58" s="3" t="n"/>
      <c r="E58" s="2" t="n"/>
      <c r="F58" s="2" t="n"/>
      <c r="G58" s="6" t="n"/>
      <c r="H58" s="6" t="n"/>
      <c r="I58" s="3" t="n"/>
      <c r="J58" s="2" t="n"/>
      <c r="K58" s="6" t="n"/>
      <c r="L58" s="6" t="n"/>
      <c r="M58" s="3" t="n"/>
      <c r="N58" s="6" t="n"/>
      <c r="O58" s="2" t="n"/>
      <c r="P58" s="6" t="n"/>
      <c r="Q58" s="6" t="n"/>
      <c r="R58" s="3" t="n"/>
      <c r="S58" s="2" t="n"/>
      <c r="T58" s="6" t="n"/>
      <c r="U58" s="6" t="n"/>
      <c r="V58" s="3" t="n"/>
    </row>
    <row r="59">
      <c r="A59" s="2" t="n"/>
      <c r="B59" s="21" t="n"/>
      <c r="C59" s="22" t="n"/>
      <c r="D59" s="3" t="n"/>
      <c r="E59" s="2" t="n"/>
      <c r="F59" s="2" t="n"/>
      <c r="G59" s="6" t="n"/>
      <c r="H59" s="6" t="n"/>
      <c r="I59" s="3" t="n"/>
      <c r="J59" s="2" t="n"/>
      <c r="K59" s="6" t="n"/>
      <c r="L59" s="6" t="n"/>
      <c r="M59" s="3" t="n"/>
      <c r="N59" s="6" t="n"/>
      <c r="O59" s="2" t="n"/>
      <c r="P59" s="6" t="n"/>
      <c r="Q59" s="6" t="n"/>
      <c r="R59" s="3" t="n"/>
      <c r="S59" s="2" t="n"/>
      <c r="T59" s="6" t="n"/>
      <c r="U59" s="6" t="n"/>
      <c r="V59" s="3" t="n"/>
    </row>
    <row r="60">
      <c r="A60" s="2" t="n"/>
      <c r="B60" s="21" t="n"/>
      <c r="C60" s="22" t="n"/>
      <c r="D60" s="3" t="n"/>
      <c r="E60" s="2" t="n"/>
      <c r="F60" s="2" t="n"/>
      <c r="G60" s="6" t="n"/>
      <c r="H60" s="6" t="n"/>
      <c r="I60" s="3" t="n"/>
      <c r="J60" s="2" t="n"/>
      <c r="K60" s="6" t="n"/>
      <c r="L60" s="6" t="n"/>
      <c r="M60" s="3" t="n"/>
      <c r="N60" s="6" t="n"/>
      <c r="O60" s="2" t="n"/>
      <c r="P60" s="6" t="n"/>
      <c r="Q60" s="6" t="n"/>
      <c r="R60" s="3" t="n"/>
      <c r="S60" s="2" t="n"/>
      <c r="T60" s="6" t="n"/>
      <c r="U60" s="6" t="n"/>
      <c r="V60" s="3" t="n"/>
    </row>
    <row r="61">
      <c r="A61" s="2" t="n"/>
      <c r="B61" s="21" t="n"/>
      <c r="C61" s="22" t="n"/>
      <c r="D61" s="3" t="n"/>
      <c r="E61" s="2" t="n"/>
      <c r="F61" s="2" t="n"/>
      <c r="G61" s="6" t="n"/>
      <c r="H61" s="6" t="n"/>
      <c r="I61" s="3" t="n"/>
      <c r="J61" s="2" t="n"/>
      <c r="K61" s="6" t="n"/>
      <c r="L61" s="6" t="n"/>
      <c r="M61" s="3" t="n"/>
      <c r="N61" s="6" t="n"/>
      <c r="O61" s="2" t="n"/>
      <c r="P61" s="6" t="n"/>
      <c r="Q61" s="6" t="n"/>
      <c r="R61" s="3" t="n"/>
      <c r="S61" s="2" t="n"/>
      <c r="T61" s="6" t="n"/>
      <c r="U61" s="6" t="n"/>
      <c r="V61" s="3" t="n"/>
    </row>
    <row r="62">
      <c r="A62" s="2" t="n"/>
      <c r="B62" s="21" t="n"/>
      <c r="C62" s="22" t="n"/>
      <c r="D62" s="3" t="n"/>
      <c r="E62" s="2" t="n"/>
      <c r="F62" s="2" t="n"/>
      <c r="G62" s="6" t="n"/>
      <c r="H62" s="6" t="n"/>
      <c r="I62" s="3" t="n"/>
      <c r="J62" s="2" t="n"/>
      <c r="K62" s="6" t="n"/>
      <c r="L62" s="6" t="n"/>
      <c r="M62" s="3" t="n"/>
      <c r="N62" s="6" t="n"/>
      <c r="O62" s="2" t="n"/>
      <c r="P62" s="6" t="n"/>
      <c r="Q62" s="6" t="n"/>
      <c r="R62" s="3" t="n"/>
      <c r="S62" s="2" t="n"/>
      <c r="T62" s="6" t="n"/>
      <c r="U62" s="6" t="n"/>
      <c r="V62" s="3" t="n"/>
    </row>
    <row r="63">
      <c r="A63" s="2" t="n"/>
      <c r="B63" s="21" t="n"/>
      <c r="C63" s="22" t="n"/>
      <c r="D63" s="3" t="n"/>
      <c r="E63" s="2" t="n"/>
      <c r="F63" s="2" t="n"/>
      <c r="G63" s="6" t="n"/>
      <c r="H63" s="6" t="n"/>
      <c r="I63" s="3" t="n"/>
      <c r="J63" s="2" t="n"/>
      <c r="K63" s="6" t="n"/>
      <c r="L63" s="6" t="n"/>
      <c r="M63" s="3" t="n"/>
      <c r="N63" s="6" t="n"/>
      <c r="O63" s="2" t="n"/>
      <c r="P63" s="6" t="n"/>
      <c r="Q63" s="6" t="n"/>
      <c r="R63" s="3" t="n"/>
      <c r="S63" s="2" t="n"/>
      <c r="T63" s="6" t="n"/>
      <c r="U63" s="6" t="n"/>
      <c r="V63" s="3" t="n"/>
    </row>
    <row r="64">
      <c r="A64" s="2" t="n"/>
      <c r="B64" s="21" t="n"/>
      <c r="C64" s="22" t="n"/>
      <c r="D64" s="3" t="n"/>
      <c r="E64" s="2" t="n"/>
      <c r="F64" s="2" t="n"/>
      <c r="G64" s="6" t="n"/>
      <c r="H64" s="6" t="n"/>
      <c r="I64" s="3" t="n"/>
      <c r="J64" s="2" t="n"/>
      <c r="K64" s="6" t="n"/>
      <c r="L64" s="6" t="n"/>
      <c r="M64" s="3" t="n"/>
      <c r="N64" s="6" t="n"/>
      <c r="O64" s="2" t="n"/>
      <c r="P64" s="6" t="n"/>
      <c r="Q64" s="6" t="n"/>
      <c r="R64" s="3" t="n"/>
      <c r="S64" s="2" t="n"/>
      <c r="T64" s="6" t="n"/>
      <c r="U64" s="6" t="n"/>
      <c r="V64" s="3" t="n"/>
    </row>
    <row r="65">
      <c r="A65" s="2" t="n"/>
      <c r="B65" s="21" t="n"/>
      <c r="C65" s="22" t="n"/>
      <c r="D65" s="3" t="n"/>
      <c r="E65" s="2" t="n"/>
      <c r="F65" s="2" t="n"/>
      <c r="G65" s="6" t="n"/>
      <c r="H65" s="6" t="n"/>
      <c r="I65" s="3" t="n"/>
      <c r="J65" s="2" t="n"/>
      <c r="K65" s="6" t="n"/>
      <c r="L65" s="6" t="n"/>
      <c r="M65" s="3" t="n"/>
      <c r="N65" s="6" t="n"/>
      <c r="O65" s="2" t="n"/>
      <c r="P65" s="6" t="n"/>
      <c r="Q65" s="6" t="n"/>
      <c r="R65" s="3" t="n"/>
      <c r="S65" s="2" t="n"/>
      <c r="T65" s="6" t="n"/>
      <c r="U65" s="6" t="n"/>
      <c r="V65" s="3" t="n"/>
    </row>
    <row r="66">
      <c r="A66" s="2" t="n"/>
      <c r="B66" s="21" t="n"/>
      <c r="C66" s="22" t="n"/>
      <c r="D66" s="3" t="n"/>
      <c r="E66" s="2" t="n"/>
      <c r="F66" s="2" t="n"/>
      <c r="G66" s="6" t="n"/>
      <c r="H66" s="6" t="n"/>
      <c r="I66" s="3" t="n"/>
      <c r="J66" s="2" t="n"/>
      <c r="K66" s="6" t="n"/>
      <c r="L66" s="6" t="n"/>
      <c r="M66" s="3" t="n"/>
      <c r="N66" s="6" t="n"/>
      <c r="O66" s="2" t="n"/>
      <c r="P66" s="6" t="n"/>
      <c r="Q66" s="6" t="n"/>
      <c r="R66" s="3" t="n"/>
      <c r="S66" s="2" t="n"/>
      <c r="T66" s="6" t="n"/>
      <c r="U66" s="6" t="n"/>
      <c r="V66" s="3" t="n"/>
    </row>
    <row r="67">
      <c r="A67" s="2" t="n"/>
      <c r="B67" s="21" t="n"/>
      <c r="C67" s="22" t="n"/>
      <c r="D67" s="3" t="n"/>
      <c r="E67" s="2" t="n"/>
      <c r="F67" s="2" t="n"/>
      <c r="G67" s="6" t="n"/>
      <c r="H67" s="6" t="n"/>
      <c r="I67" s="3" t="n"/>
      <c r="J67" s="2" t="n"/>
      <c r="K67" s="6" t="n"/>
      <c r="L67" s="6" t="n"/>
      <c r="M67" s="3" t="n"/>
      <c r="N67" s="6" t="n"/>
      <c r="O67" s="2" t="n"/>
      <c r="P67" s="6" t="n"/>
      <c r="Q67" s="6" t="n"/>
      <c r="R67" s="3" t="n"/>
      <c r="S67" s="2" t="n"/>
      <c r="T67" s="6" t="n"/>
      <c r="U67" s="6" t="n"/>
      <c r="V67" s="3" t="n"/>
    </row>
    <row r="68">
      <c r="A68" s="2" t="n"/>
      <c r="B68" s="21" t="n"/>
      <c r="C68" s="22" t="n"/>
      <c r="D68" s="3" t="n"/>
      <c r="E68" s="2" t="n"/>
      <c r="F68" s="2" t="n"/>
      <c r="G68" s="6" t="n"/>
      <c r="H68" s="6" t="n"/>
      <c r="I68" s="3" t="n"/>
      <c r="J68" s="2" t="n"/>
      <c r="K68" s="6" t="n"/>
      <c r="L68" s="6" t="n"/>
      <c r="M68" s="3" t="n"/>
      <c r="N68" s="6" t="n"/>
      <c r="O68" s="2" t="n"/>
      <c r="P68" s="6" t="n"/>
      <c r="Q68" s="6" t="n"/>
      <c r="R68" s="3" t="n"/>
      <c r="S68" s="2" t="n"/>
      <c r="T68" s="6" t="n"/>
      <c r="U68" s="6" t="n"/>
      <c r="V68" s="3" t="n"/>
    </row>
    <row r="69">
      <c r="A69" s="2" t="n"/>
      <c r="B69" s="21" t="n"/>
      <c r="C69" s="22" t="n"/>
      <c r="D69" s="3" t="n"/>
      <c r="E69" s="2" t="n"/>
      <c r="F69" s="2" t="n"/>
      <c r="G69" s="6" t="n"/>
      <c r="H69" s="6" t="n"/>
      <c r="I69" s="3" t="n"/>
      <c r="J69" s="2" t="n"/>
      <c r="K69" s="6" t="n"/>
      <c r="L69" s="6" t="n"/>
      <c r="M69" s="3" t="n"/>
      <c r="N69" s="6" t="n"/>
      <c r="O69" s="2" t="n"/>
      <c r="P69" s="6" t="n"/>
      <c r="Q69" s="6" t="n"/>
      <c r="R69" s="3" t="n"/>
      <c r="S69" s="2" t="n"/>
      <c r="T69" s="6" t="n"/>
      <c r="U69" s="6" t="n"/>
      <c r="V69" s="3" t="n"/>
    </row>
    <row r="70">
      <c r="A70" s="2" t="n"/>
      <c r="B70" s="21" t="n"/>
      <c r="C70" s="22" t="n"/>
      <c r="D70" s="3" t="n"/>
      <c r="E70" s="2" t="n"/>
      <c r="F70" s="2" t="n"/>
      <c r="G70" s="6" t="n"/>
      <c r="H70" s="6" t="n"/>
      <c r="I70" s="3" t="n"/>
      <c r="J70" s="2" t="n"/>
      <c r="K70" s="6" t="n"/>
      <c r="L70" s="6" t="n"/>
      <c r="M70" s="3" t="n"/>
      <c r="N70" s="6" t="n"/>
      <c r="O70" s="2" t="n"/>
      <c r="P70" s="6" t="n"/>
      <c r="Q70" s="6" t="n"/>
      <c r="R70" s="3" t="n"/>
      <c r="S70" s="2" t="n"/>
      <c r="T70" s="6" t="n"/>
      <c r="U70" s="6" t="n"/>
      <c r="V70" s="3" t="n"/>
    </row>
    <row r="71">
      <c r="A71" s="2" t="n"/>
      <c r="B71" s="21" t="n"/>
      <c r="C71" s="22" t="n"/>
      <c r="D71" s="3" t="n"/>
      <c r="E71" s="2" t="n"/>
      <c r="F71" s="2" t="n"/>
      <c r="G71" s="6" t="n"/>
      <c r="H71" s="6" t="n"/>
      <c r="I71" s="3" t="n"/>
      <c r="J71" s="2" t="n"/>
      <c r="K71" s="6" t="n"/>
      <c r="L71" s="6" t="n"/>
      <c r="M71" s="3" t="n"/>
      <c r="N71" s="6" t="n"/>
      <c r="O71" s="2" t="n"/>
      <c r="P71" s="6" t="n"/>
      <c r="Q71" s="6" t="n"/>
      <c r="R71" s="3" t="n"/>
      <c r="S71" s="2" t="n"/>
      <c r="T71" s="6" t="n"/>
      <c r="U71" s="6" t="n"/>
      <c r="V71" s="3" t="n"/>
    </row>
    <row r="72">
      <c r="A72" s="2" t="n"/>
      <c r="B72" s="21" t="n"/>
      <c r="C72" s="22" t="n"/>
      <c r="D72" s="3" t="n"/>
      <c r="E72" s="2" t="n"/>
      <c r="F72" s="2" t="n"/>
      <c r="G72" s="6" t="n"/>
      <c r="H72" s="6" t="n"/>
      <c r="I72" s="3" t="n"/>
      <c r="J72" s="2" t="n"/>
      <c r="K72" s="6" t="n"/>
      <c r="L72" s="6" t="n"/>
      <c r="M72" s="3" t="n"/>
      <c r="N72" s="6" t="n"/>
      <c r="O72" s="2" t="n"/>
      <c r="P72" s="6" t="n"/>
      <c r="Q72" s="6" t="n"/>
      <c r="R72" s="3" t="n"/>
      <c r="S72" s="2" t="n"/>
      <c r="T72" s="6" t="n"/>
      <c r="U72" s="6" t="n"/>
      <c r="V72" s="3" t="n"/>
    </row>
    <row r="73">
      <c r="A73" s="2" t="n"/>
      <c r="B73" s="21" t="n"/>
      <c r="C73" s="22" t="n"/>
      <c r="D73" s="3" t="n"/>
      <c r="E73" s="2" t="n"/>
      <c r="F73" s="2" t="n"/>
      <c r="G73" s="6" t="n"/>
      <c r="H73" s="6" t="n"/>
      <c r="I73" s="3" t="n"/>
      <c r="J73" s="2" t="n"/>
      <c r="K73" s="6" t="n"/>
      <c r="L73" s="6" t="n"/>
      <c r="M73" s="3" t="n"/>
      <c r="N73" s="6" t="n"/>
      <c r="O73" s="2" t="n"/>
      <c r="P73" s="6" t="n"/>
      <c r="Q73" s="6" t="n"/>
      <c r="R73" s="3" t="n"/>
      <c r="S73" s="2" t="n"/>
      <c r="T73" s="6" t="n"/>
      <c r="U73" s="6" t="n"/>
      <c r="V73" s="3" t="n"/>
    </row>
    <row r="74">
      <c r="A74" s="2" t="n"/>
      <c r="B74" s="21" t="n"/>
      <c r="C74" s="22" t="n"/>
      <c r="D74" s="3" t="n"/>
      <c r="E74" s="2" t="n"/>
      <c r="F74" s="2" t="n"/>
      <c r="G74" s="6" t="n"/>
      <c r="H74" s="6" t="n"/>
      <c r="I74" s="3" t="n"/>
      <c r="J74" s="2" t="n"/>
      <c r="K74" s="6" t="n"/>
      <c r="L74" s="6" t="n"/>
      <c r="M74" s="3" t="n"/>
      <c r="N74" s="6" t="n"/>
      <c r="O74" s="2" t="n"/>
      <c r="P74" s="6" t="n"/>
      <c r="Q74" s="6" t="n"/>
      <c r="R74" s="3" t="n"/>
      <c r="S74" s="2" t="n"/>
      <c r="T74" s="6" t="n"/>
      <c r="U74" s="6" t="n"/>
      <c r="V74" s="3" t="n"/>
    </row>
    <row r="75">
      <c r="A75" s="2" t="n"/>
      <c r="B75" s="21" t="n"/>
      <c r="C75" s="22" t="n"/>
      <c r="D75" s="3" t="n"/>
      <c r="E75" s="2" t="n"/>
      <c r="F75" s="2" t="n"/>
      <c r="G75" s="6" t="n"/>
      <c r="H75" s="6" t="n"/>
      <c r="I75" s="3" t="n"/>
      <c r="J75" s="2" t="n"/>
      <c r="K75" s="6" t="n"/>
      <c r="L75" s="6" t="n"/>
      <c r="M75" s="3" t="n"/>
      <c r="N75" s="6" t="n"/>
      <c r="O75" s="2" t="n"/>
      <c r="P75" s="6" t="n"/>
      <c r="Q75" s="6" t="n"/>
      <c r="R75" s="3" t="n"/>
      <c r="S75" s="2" t="n"/>
      <c r="T75" s="6" t="n"/>
      <c r="U75" s="6" t="n"/>
      <c r="V75" s="3" t="n"/>
    </row>
    <row r="76">
      <c r="A76" s="2" t="n"/>
      <c r="B76" s="21" t="n"/>
      <c r="C76" s="22" t="n"/>
      <c r="D76" s="3" t="n"/>
      <c r="E76" s="2" t="n"/>
      <c r="F76" s="2" t="n"/>
      <c r="G76" s="6" t="n"/>
      <c r="H76" s="6" t="n"/>
      <c r="I76" s="3" t="n"/>
      <c r="J76" s="2" t="n"/>
      <c r="K76" s="6" t="n"/>
      <c r="L76" s="6" t="n"/>
      <c r="M76" s="3" t="n"/>
      <c r="N76" s="6" t="n"/>
      <c r="O76" s="2" t="n"/>
      <c r="P76" s="6" t="n"/>
      <c r="Q76" s="6" t="n"/>
      <c r="R76" s="3" t="n"/>
      <c r="S76" s="2" t="n"/>
      <c r="T76" s="6" t="n"/>
      <c r="U76" s="6" t="n"/>
      <c r="V76" s="3" t="n"/>
    </row>
    <row r="77">
      <c r="A77" s="2" t="n"/>
      <c r="B77" s="21" t="n"/>
      <c r="C77" s="22" t="n"/>
      <c r="D77" s="3" t="n"/>
      <c r="E77" s="2" t="n"/>
      <c r="F77" s="2" t="n"/>
      <c r="G77" s="6" t="n"/>
      <c r="H77" s="6" t="n"/>
      <c r="I77" s="3" t="n"/>
      <c r="J77" s="2" t="n"/>
      <c r="K77" s="6" t="n"/>
      <c r="L77" s="6" t="n"/>
      <c r="M77" s="3" t="n"/>
      <c r="N77" s="6" t="n"/>
      <c r="O77" s="2" t="n"/>
      <c r="P77" s="6" t="n"/>
      <c r="Q77" s="6" t="n"/>
      <c r="R77" s="3" t="n"/>
      <c r="S77" s="2" t="n"/>
      <c r="T77" s="6" t="n"/>
      <c r="U77" s="6" t="n"/>
      <c r="V77" s="3" t="n"/>
    </row>
    <row r="78">
      <c r="A78" s="2" t="n"/>
      <c r="B78" s="21" t="n"/>
      <c r="C78" s="22" t="n"/>
      <c r="D78" s="3" t="n"/>
      <c r="E78" s="2" t="n"/>
      <c r="F78" s="2" t="n"/>
      <c r="G78" s="6" t="n"/>
      <c r="H78" s="6" t="n"/>
      <c r="I78" s="3" t="n"/>
      <c r="J78" s="2" t="n"/>
      <c r="K78" s="6" t="n"/>
      <c r="L78" s="6" t="n"/>
      <c r="M78" s="3" t="n"/>
      <c r="N78" s="6" t="n"/>
      <c r="O78" s="2" t="n"/>
      <c r="P78" s="6" t="n"/>
      <c r="Q78" s="6" t="n"/>
      <c r="R78" s="3" t="n"/>
      <c r="S78" s="2" t="n"/>
      <c r="T78" s="6" t="n"/>
      <c r="U78" s="6" t="n"/>
      <c r="V78" s="3" t="n"/>
    </row>
    <row r="79">
      <c r="A79" s="2" t="n"/>
      <c r="B79" s="21" t="n"/>
      <c r="C79" s="22" t="n"/>
      <c r="D79" s="3" t="n"/>
      <c r="E79" s="2" t="n"/>
      <c r="F79" s="2" t="n"/>
      <c r="G79" s="6" t="n"/>
      <c r="H79" s="6" t="n"/>
      <c r="I79" s="3" t="n"/>
      <c r="J79" s="2" t="n"/>
      <c r="K79" s="6" t="n"/>
      <c r="L79" s="6" t="n"/>
      <c r="M79" s="3" t="n"/>
      <c r="N79" s="6" t="n"/>
      <c r="O79" s="2" t="n"/>
      <c r="P79" s="6" t="n"/>
      <c r="Q79" s="6" t="n"/>
      <c r="R79" s="3" t="n"/>
      <c r="S79" s="2" t="n"/>
      <c r="T79" s="6" t="n"/>
      <c r="U79" s="6" t="n"/>
      <c r="V79" s="3" t="n"/>
    </row>
    <row r="80">
      <c r="A80" s="2" t="n"/>
      <c r="B80" s="21" t="n"/>
      <c r="C80" s="22" t="n"/>
      <c r="D80" s="3" t="n"/>
      <c r="E80" s="2" t="n"/>
      <c r="F80" s="2" t="n"/>
      <c r="G80" s="6" t="n"/>
      <c r="H80" s="6" t="n"/>
      <c r="I80" s="3" t="n"/>
      <c r="J80" s="2" t="n"/>
      <c r="K80" s="6" t="n"/>
      <c r="L80" s="6" t="n"/>
      <c r="M80" s="3" t="n"/>
      <c r="N80" s="6" t="n"/>
      <c r="O80" s="2" t="n"/>
      <c r="P80" s="6" t="n"/>
      <c r="Q80" s="6" t="n"/>
      <c r="R80" s="3" t="n"/>
      <c r="S80" s="2" t="n"/>
      <c r="T80" s="6" t="n"/>
      <c r="U80" s="6" t="n"/>
      <c r="V80" s="3" t="n"/>
    </row>
    <row r="81">
      <c r="A81" s="2" t="n"/>
      <c r="B81" s="21" t="n"/>
      <c r="C81" s="22" t="n"/>
      <c r="D81" s="3" t="n"/>
      <c r="E81" s="2" t="n"/>
      <c r="F81" s="2" t="n"/>
      <c r="G81" s="6" t="n"/>
      <c r="H81" s="6" t="n"/>
      <c r="I81" s="3" t="n"/>
      <c r="J81" s="2" t="n"/>
      <c r="K81" s="6" t="n"/>
      <c r="L81" s="6" t="n"/>
      <c r="M81" s="3" t="n"/>
      <c r="N81" s="6" t="n"/>
      <c r="O81" s="2" t="n"/>
      <c r="P81" s="6" t="n"/>
      <c r="Q81" s="6" t="n"/>
      <c r="R81" s="3" t="n"/>
      <c r="S81" s="2" t="n"/>
      <c r="T81" s="6" t="n"/>
      <c r="U81" s="6" t="n"/>
      <c r="V81" s="3" t="n"/>
    </row>
    <row r="82">
      <c r="A82" s="2" t="n"/>
      <c r="B82" s="21" t="n"/>
      <c r="C82" s="22" t="n"/>
      <c r="D82" s="3" t="n"/>
      <c r="E82" s="2" t="n"/>
      <c r="F82" s="2" t="n"/>
      <c r="G82" s="6" t="n"/>
      <c r="H82" s="6" t="n"/>
      <c r="I82" s="3" t="n"/>
      <c r="J82" s="2" t="n"/>
      <c r="K82" s="6" t="n"/>
      <c r="L82" s="6" t="n"/>
      <c r="M82" s="3" t="n"/>
      <c r="N82" s="6" t="n"/>
      <c r="O82" s="2" t="n"/>
      <c r="P82" s="6" t="n"/>
      <c r="Q82" s="6" t="n"/>
      <c r="R82" s="3" t="n"/>
      <c r="S82" s="2" t="n"/>
      <c r="T82" s="6" t="n"/>
      <c r="U82" s="6" t="n"/>
      <c r="V82" s="3" t="n"/>
    </row>
    <row r="83">
      <c r="A83" s="2" t="n"/>
      <c r="B83" s="21" t="n"/>
      <c r="C83" s="22" t="n"/>
      <c r="D83" s="3" t="n"/>
      <c r="E83" s="2" t="n"/>
      <c r="F83" s="2" t="n"/>
      <c r="G83" s="6" t="n"/>
      <c r="H83" s="6" t="n"/>
      <c r="I83" s="3" t="n"/>
      <c r="J83" s="2" t="n"/>
      <c r="K83" s="6" t="n"/>
      <c r="L83" s="6" t="n"/>
      <c r="M83" s="3" t="n"/>
      <c r="N83" s="6" t="n"/>
      <c r="O83" s="2" t="n"/>
      <c r="P83" s="6" t="n"/>
      <c r="Q83" s="6" t="n"/>
      <c r="R83" s="3" t="n"/>
      <c r="S83" s="2" t="n"/>
      <c r="T83" s="6" t="n"/>
      <c r="U83" s="6" t="n"/>
      <c r="V83" s="3" t="n"/>
    </row>
    <row r="84">
      <c r="A84" s="2" t="n"/>
      <c r="B84" s="21" t="n"/>
      <c r="C84" s="22" t="n"/>
      <c r="D84" s="3" t="n"/>
      <c r="E84" s="2" t="n"/>
      <c r="F84" s="2" t="n"/>
      <c r="G84" s="6" t="n"/>
      <c r="H84" s="6" t="n"/>
      <c r="I84" s="3" t="n"/>
      <c r="J84" s="2" t="n"/>
      <c r="K84" s="6" t="n"/>
      <c r="L84" s="6" t="n"/>
      <c r="M84" s="3" t="n"/>
      <c r="N84" s="6" t="n"/>
      <c r="O84" s="2" t="n"/>
      <c r="P84" s="6" t="n"/>
      <c r="Q84" s="6" t="n"/>
      <c r="R84" s="3" t="n"/>
      <c r="S84" s="2" t="n"/>
      <c r="T84" s="6" t="n"/>
      <c r="U84" s="6" t="n"/>
      <c r="V84" s="3" t="n"/>
    </row>
    <row r="85">
      <c r="A85" s="2" t="n"/>
      <c r="B85" s="21" t="n"/>
      <c r="C85" s="22" t="n"/>
      <c r="D85" s="3" t="n"/>
      <c r="E85" s="2" t="n"/>
      <c r="F85" s="2" t="n"/>
      <c r="G85" s="6" t="n"/>
      <c r="H85" s="6" t="n"/>
      <c r="I85" s="3" t="n"/>
      <c r="J85" s="2" t="n"/>
      <c r="K85" s="6" t="n"/>
      <c r="L85" s="6" t="n"/>
      <c r="M85" s="3" t="n"/>
      <c r="N85" s="6" t="n"/>
      <c r="O85" s="2" t="n"/>
      <c r="P85" s="6" t="n"/>
      <c r="Q85" s="6" t="n"/>
      <c r="R85" s="3" t="n"/>
      <c r="S85" s="2" t="n"/>
      <c r="T85" s="6" t="n"/>
      <c r="U85" s="6" t="n"/>
      <c r="V85" s="3" t="n"/>
    </row>
    <row r="86">
      <c r="A86" s="2" t="n"/>
      <c r="B86" s="21" t="n"/>
      <c r="C86" s="22" t="n"/>
      <c r="D86" s="3" t="n"/>
      <c r="E86" s="2" t="n"/>
      <c r="F86" s="2" t="n"/>
      <c r="G86" s="6" t="n"/>
      <c r="H86" s="6" t="n"/>
      <c r="I86" s="3" t="n"/>
      <c r="J86" s="2" t="n"/>
      <c r="K86" s="6" t="n"/>
      <c r="L86" s="6" t="n"/>
      <c r="M86" s="3" t="n"/>
      <c r="N86" s="6" t="n"/>
      <c r="O86" s="2" t="n"/>
      <c r="P86" s="6" t="n"/>
      <c r="Q86" s="6" t="n"/>
      <c r="R86" s="3" t="n"/>
      <c r="S86" s="2" t="n"/>
      <c r="T86" s="6" t="n"/>
      <c r="U86" s="6" t="n"/>
      <c r="V86" s="3" t="n"/>
    </row>
    <row r="87">
      <c r="A87" s="2" t="n"/>
      <c r="B87" s="21" t="n"/>
      <c r="C87" s="22" t="n"/>
      <c r="D87" s="3" t="n"/>
      <c r="E87" s="2" t="n"/>
      <c r="F87" s="2" t="n"/>
      <c r="G87" s="6" t="n"/>
      <c r="H87" s="6" t="n"/>
      <c r="I87" s="3" t="n"/>
      <c r="J87" s="2" t="n"/>
      <c r="K87" s="6" t="n"/>
      <c r="L87" s="6" t="n"/>
      <c r="M87" s="3" t="n"/>
      <c r="N87" s="6" t="n"/>
      <c r="O87" s="2" t="n"/>
      <c r="P87" s="6" t="n"/>
      <c r="Q87" s="6" t="n"/>
      <c r="R87" s="3" t="n"/>
      <c r="S87" s="2" t="n"/>
      <c r="T87" s="6" t="n"/>
      <c r="U87" s="6" t="n"/>
      <c r="V87" s="3" t="n"/>
    </row>
    <row r="88">
      <c r="A88" s="2" t="n"/>
      <c r="B88" s="21" t="n"/>
      <c r="C88" s="22" t="n"/>
      <c r="D88" s="3" t="n"/>
      <c r="E88" s="2" t="n"/>
      <c r="F88" s="2" t="n"/>
      <c r="G88" s="6" t="n"/>
      <c r="H88" s="6" t="n"/>
      <c r="I88" s="3" t="n"/>
      <c r="J88" s="2" t="n"/>
      <c r="K88" s="6" t="n"/>
      <c r="L88" s="6" t="n"/>
      <c r="M88" s="3" t="n"/>
      <c r="N88" s="6" t="n"/>
      <c r="O88" s="2" t="n"/>
      <c r="P88" s="6" t="n"/>
      <c r="Q88" s="6" t="n"/>
      <c r="R88" s="3" t="n"/>
      <c r="S88" s="2" t="n"/>
      <c r="T88" s="6" t="n"/>
      <c r="U88" s="6" t="n"/>
      <c r="V88" s="3" t="n"/>
    </row>
    <row r="89">
      <c r="A89" s="2" t="n"/>
      <c r="B89" s="21" t="n"/>
      <c r="C89" s="22" t="n"/>
      <c r="D89" s="3" t="n"/>
      <c r="E89" s="2" t="n"/>
      <c r="F89" s="2" t="n"/>
      <c r="G89" s="6" t="n"/>
      <c r="H89" s="6" t="n"/>
      <c r="I89" s="3" t="n"/>
      <c r="J89" s="2" t="n"/>
      <c r="K89" s="6" t="n"/>
      <c r="L89" s="6" t="n"/>
      <c r="M89" s="3" t="n"/>
      <c r="N89" s="6" t="n"/>
      <c r="O89" s="2" t="n"/>
      <c r="P89" s="6" t="n"/>
      <c r="Q89" s="6" t="n"/>
      <c r="R89" s="3" t="n"/>
      <c r="S89" s="2" t="n"/>
      <c r="T89" s="6" t="n"/>
      <c r="U89" s="6" t="n"/>
      <c r="V89" s="3" t="n"/>
    </row>
    <row r="90">
      <c r="A90" s="2" t="n"/>
      <c r="B90" s="21" t="n"/>
      <c r="C90" s="22" t="n"/>
      <c r="D90" s="3" t="n"/>
      <c r="E90" s="2" t="n"/>
      <c r="F90" s="2" t="n"/>
      <c r="G90" s="6" t="n"/>
      <c r="H90" s="6" t="n"/>
      <c r="I90" s="3" t="n"/>
      <c r="J90" s="2" t="n"/>
      <c r="K90" s="6" t="n"/>
      <c r="L90" s="6" t="n"/>
      <c r="M90" s="3" t="n"/>
      <c r="N90" s="6" t="n"/>
      <c r="O90" s="2" t="n"/>
      <c r="P90" s="6" t="n"/>
      <c r="Q90" s="6" t="n"/>
      <c r="R90" s="3" t="n"/>
      <c r="S90" s="2" t="n"/>
      <c r="T90" s="6" t="n"/>
      <c r="U90" s="6" t="n"/>
      <c r="V90" s="3" t="n"/>
    </row>
    <row r="91">
      <c r="A91" s="2" t="n"/>
      <c r="B91" s="21" t="n"/>
      <c r="C91" s="22" t="n"/>
      <c r="D91" s="3" t="n"/>
      <c r="E91" s="2" t="n"/>
      <c r="F91" s="2" t="n"/>
      <c r="G91" s="6" t="n"/>
      <c r="H91" s="6" t="n"/>
      <c r="I91" s="3" t="n"/>
      <c r="J91" s="2" t="n"/>
      <c r="K91" s="6" t="n"/>
      <c r="L91" s="6" t="n"/>
      <c r="M91" s="3" t="n"/>
      <c r="N91" s="6" t="n"/>
      <c r="O91" s="2" t="n"/>
      <c r="P91" s="6" t="n"/>
      <c r="Q91" s="6" t="n"/>
      <c r="R91" s="3" t="n"/>
      <c r="S91" s="2" t="n"/>
      <c r="T91" s="6" t="n"/>
      <c r="U91" s="6" t="n"/>
      <c r="V91" s="3" t="n"/>
    </row>
    <row r="92">
      <c r="A92" s="2" t="n"/>
      <c r="B92" s="21" t="n"/>
      <c r="C92" s="22" t="n"/>
      <c r="D92" s="3" t="n"/>
      <c r="E92" s="2" t="n"/>
      <c r="F92" s="2" t="n"/>
      <c r="G92" s="6" t="n"/>
      <c r="H92" s="6" t="n"/>
      <c r="I92" s="3" t="n"/>
      <c r="J92" s="2" t="n"/>
      <c r="K92" s="6" t="n"/>
      <c r="L92" s="6" t="n"/>
      <c r="M92" s="3" t="n"/>
      <c r="N92" s="6" t="n"/>
      <c r="O92" s="2" t="n"/>
      <c r="P92" s="6" t="n"/>
      <c r="Q92" s="6" t="n"/>
      <c r="R92" s="3" t="n"/>
      <c r="S92" s="2" t="n"/>
      <c r="T92" s="6" t="n"/>
      <c r="U92" s="6" t="n"/>
      <c r="V92" s="3" t="n"/>
    </row>
    <row r="93">
      <c r="A93" s="2" t="n"/>
      <c r="B93" s="21" t="n"/>
      <c r="C93" s="22" t="n"/>
      <c r="D93" s="3" t="n"/>
      <c r="E93" s="2" t="n"/>
      <c r="F93" s="2" t="n"/>
      <c r="G93" s="6" t="n"/>
      <c r="H93" s="6" t="n"/>
      <c r="I93" s="3" t="n"/>
      <c r="J93" s="2" t="n"/>
      <c r="K93" s="6" t="n"/>
      <c r="L93" s="6" t="n"/>
      <c r="M93" s="3" t="n"/>
      <c r="N93" s="6" t="n"/>
      <c r="O93" s="2" t="n"/>
      <c r="P93" s="6" t="n"/>
      <c r="Q93" s="6" t="n"/>
      <c r="R93" s="3" t="n"/>
      <c r="S93" s="2" t="n"/>
      <c r="T93" s="6" t="n"/>
      <c r="U93" s="6" t="n"/>
      <c r="V93" s="3" t="n"/>
    </row>
    <row r="94">
      <c r="A94" s="2" t="n"/>
      <c r="B94" s="21" t="n"/>
      <c r="C94" s="22" t="n"/>
      <c r="D94" s="3" t="n"/>
      <c r="E94" s="2" t="n"/>
      <c r="F94" s="2" t="n"/>
      <c r="G94" s="6" t="n"/>
      <c r="H94" s="6" t="n"/>
      <c r="I94" s="3" t="n"/>
      <c r="J94" s="2" t="n"/>
      <c r="K94" s="6" t="n"/>
      <c r="L94" s="6" t="n"/>
      <c r="M94" s="3" t="n"/>
      <c r="N94" s="6" t="n"/>
      <c r="O94" s="2" t="n"/>
      <c r="P94" s="6" t="n"/>
      <c r="Q94" s="6" t="n"/>
      <c r="R94" s="3" t="n"/>
      <c r="S94" s="2" t="n"/>
      <c r="T94" s="6" t="n"/>
      <c r="U94" s="6" t="n"/>
      <c r="V94" s="3" t="n"/>
    </row>
    <row r="95">
      <c r="A95" s="2" t="n"/>
      <c r="B95" s="21" t="n"/>
      <c r="C95" s="22" t="n"/>
      <c r="D95" s="3" t="n"/>
      <c r="E95" s="2" t="n"/>
      <c r="F95" s="2" t="n"/>
      <c r="G95" s="6" t="n"/>
      <c r="H95" s="6" t="n"/>
      <c r="I95" s="3" t="n"/>
      <c r="J95" s="2" t="n"/>
      <c r="K95" s="6" t="n"/>
      <c r="L95" s="6" t="n"/>
      <c r="M95" s="3" t="n"/>
      <c r="N95" s="6" t="n"/>
      <c r="O95" s="2" t="n"/>
      <c r="P95" s="6" t="n"/>
      <c r="Q95" s="6" t="n"/>
      <c r="R95" s="3" t="n"/>
      <c r="S95" s="2" t="n"/>
      <c r="T95" s="6" t="n"/>
      <c r="U95" s="6" t="n"/>
      <c r="V95" s="3" t="n"/>
    </row>
    <row r="96">
      <c r="A96" s="2" t="n"/>
      <c r="B96" s="21" t="n"/>
      <c r="C96" s="22" t="n"/>
      <c r="D96" s="3" t="n"/>
      <c r="E96" s="2" t="n"/>
      <c r="F96" s="2" t="n"/>
      <c r="G96" s="6" t="n"/>
      <c r="H96" s="6" t="n"/>
      <c r="I96" s="3" t="n"/>
      <c r="J96" s="2" t="n"/>
      <c r="K96" s="6" t="n"/>
      <c r="L96" s="6" t="n"/>
      <c r="M96" s="3" t="n"/>
      <c r="N96" s="6" t="n"/>
      <c r="O96" s="2" t="n"/>
      <c r="P96" s="6" t="n"/>
      <c r="Q96" s="6" t="n"/>
      <c r="R96" s="3" t="n"/>
      <c r="S96" s="2" t="n"/>
      <c r="T96" s="6" t="n"/>
      <c r="U96" s="6" t="n"/>
      <c r="V96" s="3" t="n"/>
    </row>
    <row r="97">
      <c r="A97" s="2" t="n"/>
      <c r="B97" s="21" t="n"/>
      <c r="C97" s="22" t="n"/>
      <c r="D97" s="3" t="n"/>
      <c r="E97" s="2" t="n"/>
      <c r="F97" s="2" t="n"/>
      <c r="G97" s="6" t="n"/>
      <c r="H97" s="6" t="n"/>
      <c r="I97" s="3" t="n"/>
      <c r="J97" s="2" t="n"/>
      <c r="K97" s="6" t="n"/>
      <c r="L97" s="6" t="n"/>
      <c r="M97" s="3" t="n"/>
      <c r="N97" s="6" t="n"/>
      <c r="O97" s="2" t="n"/>
      <c r="P97" s="6" t="n"/>
      <c r="Q97" s="6" t="n"/>
      <c r="R97" s="3" t="n"/>
      <c r="S97" s="2" t="n"/>
      <c r="T97" s="6" t="n"/>
      <c r="U97" s="6" t="n"/>
      <c r="V97" s="3" t="n"/>
    </row>
    <row r="98">
      <c r="A98" s="2" t="n"/>
      <c r="B98" s="21" t="n"/>
      <c r="C98" s="22" t="n"/>
      <c r="D98" s="3" t="n"/>
      <c r="E98" s="2" t="n"/>
      <c r="F98" s="2" t="n"/>
      <c r="G98" s="6" t="n"/>
      <c r="H98" s="6" t="n"/>
      <c r="I98" s="3" t="n"/>
      <c r="J98" s="2" t="n"/>
      <c r="K98" s="6" t="n"/>
      <c r="L98" s="6" t="n"/>
      <c r="M98" s="3" t="n"/>
      <c r="N98" s="6" t="n"/>
      <c r="O98" s="2" t="n"/>
      <c r="P98" s="6" t="n"/>
      <c r="Q98" s="6" t="n"/>
      <c r="R98" s="3" t="n"/>
      <c r="S98" s="2" t="n"/>
      <c r="T98" s="6" t="n"/>
      <c r="U98" s="6" t="n"/>
      <c r="V98" s="3" t="n"/>
    </row>
    <row r="99">
      <c r="A99" s="2" t="n"/>
      <c r="B99" s="21" t="n"/>
      <c r="C99" s="22" t="n"/>
      <c r="D99" s="3" t="n"/>
      <c r="E99" s="2" t="n"/>
      <c r="F99" s="2" t="n"/>
      <c r="G99" s="6" t="n"/>
      <c r="H99" s="6" t="n"/>
      <c r="I99" s="3" t="n"/>
      <c r="J99" s="2" t="n"/>
      <c r="K99" s="6" t="n"/>
      <c r="L99" s="6" t="n"/>
      <c r="M99" s="3" t="n"/>
      <c r="N99" s="6" t="n"/>
      <c r="O99" s="2" t="n"/>
      <c r="P99" s="6" t="n"/>
      <c r="Q99" s="6" t="n"/>
      <c r="R99" s="3" t="n"/>
      <c r="S99" s="2" t="n"/>
      <c r="T99" s="6" t="n"/>
      <c r="U99" s="6" t="n"/>
      <c r="V99" s="3" t="n"/>
    </row>
    <row r="100">
      <c r="A100" s="2" t="n"/>
      <c r="B100" s="21" t="n"/>
      <c r="C100" s="22" t="n"/>
      <c r="D100" s="3" t="n"/>
      <c r="E100" s="2" t="n"/>
      <c r="F100" s="2" t="n"/>
      <c r="G100" s="6" t="n"/>
      <c r="H100" s="6" t="n"/>
      <c r="I100" s="3" t="n"/>
      <c r="J100" s="2" t="n"/>
      <c r="K100" s="6" t="n"/>
      <c r="L100" s="6" t="n"/>
      <c r="M100" s="3" t="n"/>
      <c r="N100" s="6" t="n"/>
      <c r="O100" s="2" t="n"/>
      <c r="P100" s="6" t="n"/>
      <c r="Q100" s="6" t="n"/>
      <c r="R100" s="3" t="n"/>
      <c r="S100" s="2" t="n"/>
      <c r="T100" s="6" t="n"/>
      <c r="U100" s="6" t="n"/>
      <c r="V100" s="3" t="n"/>
    </row>
    <row r="101">
      <c r="B101" s="21" t="n"/>
      <c r="C101" s="22" t="n"/>
    </row>
    <row r="102">
      <c r="B102" s="21" t="n"/>
      <c r="C102" s="22" t="n"/>
    </row>
    <row r="103">
      <c r="B103" s="21" t="n"/>
      <c r="C103" s="22" t="n"/>
    </row>
    <row r="104">
      <c r="B104" s="21" t="n"/>
      <c r="C104" s="22" t="n"/>
    </row>
    <row r="105">
      <c r="B105" s="21" t="n"/>
      <c r="C105" s="22" t="n"/>
    </row>
    <row r="106">
      <c r="B106" s="21" t="n"/>
      <c r="C106" s="22" t="n"/>
    </row>
    <row r="107">
      <c r="B107" s="21" t="n"/>
      <c r="C107" s="22" t="n"/>
    </row>
    <row r="108">
      <c r="B108" s="21" t="n"/>
      <c r="C108" s="22" t="n"/>
    </row>
    <row r="109">
      <c r="B109" s="21" t="n"/>
      <c r="C109" s="22" t="n"/>
    </row>
    <row r="110">
      <c r="B110" s="21" t="n"/>
      <c r="C110" s="22" t="n"/>
    </row>
    <row r="111">
      <c r="B111" s="21" t="n"/>
      <c r="C111" s="22" t="n"/>
    </row>
    <row r="112">
      <c r="B112" s="21" t="n"/>
      <c r="C112" s="22" t="n"/>
    </row>
    <row r="113">
      <c r="B113" s="21" t="n"/>
      <c r="C113" s="22" t="n"/>
    </row>
    <row r="114">
      <c r="B114" s="21" t="n"/>
      <c r="C114" s="22" t="n"/>
    </row>
    <row r="115">
      <c r="B115" s="21" t="n"/>
      <c r="C115" s="22" t="n"/>
    </row>
    <row r="116">
      <c r="B116" s="21" t="n"/>
      <c r="C116" s="22" t="n"/>
    </row>
    <row r="117">
      <c r="B117" s="21" t="n"/>
      <c r="C117" s="22" t="n"/>
    </row>
    <row r="118">
      <c r="B118" s="21" t="n"/>
      <c r="C118" s="22" t="n"/>
    </row>
    <row r="119">
      <c r="B119" s="21" t="n"/>
      <c r="C119" s="22" t="n"/>
    </row>
    <row r="120">
      <c r="B120" s="21" t="n"/>
      <c r="C120" s="22" t="n"/>
    </row>
    <row r="121">
      <c r="B121" s="21" t="n"/>
      <c r="C121" s="22" t="n"/>
    </row>
    <row r="122">
      <c r="B122" s="21" t="n"/>
      <c r="C122" s="22" t="n"/>
    </row>
    <row r="123">
      <c r="B123" s="21" t="n"/>
      <c r="C123" s="22" t="n"/>
    </row>
  </sheetData>
  <mergeCells count="1">
    <mergeCell ref="A1:V1"/>
  </mergeCells>
  <pageMargins left="0.7" right="0.7" top="0.75" bottom="0.75" header="0.3" footer="0.3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40916C"/>
    <outlinePr summaryBelow="1" summaryRight="1"/>
    <pageSetUpPr/>
  </sheetPr>
  <dimension ref="A1:K26"/>
  <sheetViews>
    <sheetView workbookViewId="0">
      <pane ySplit="4" topLeftCell="A5" activePane="bottomLeft" state="frozen"/>
      <selection pane="bottomLeft" activeCell="A5" sqref="A5"/>
    </sheetView>
  </sheetViews>
  <sheetFormatPr baseColWidth="8" defaultColWidth="11.5546875" defaultRowHeight="13.8"/>
  <cols>
    <col width="7.6640625" customWidth="1" style="27" min="1" max="1"/>
    <col width="14.6640625" customWidth="1" style="27" min="2" max="11"/>
  </cols>
  <sheetData>
    <row r="1" ht="52.05" customHeight="1" s="27">
      <c r="A1" s="24" t="inlineStr">
        <is>
          <t>CORRELATIONS: Fill in one row per year for each parameter you have historical data for. When you upload this template in Tab 1, the app automatically computes a Pearson correlation matrix and uses it in Monte Carlo sampling (Tab 4 &gt; Activity Data). You do NOT need every column - absent parameters are treated as uncorrelated (r=0). Minimum: 2 numeric columns and 5 rows.</t>
        </is>
      </c>
    </row>
    <row r="2" ht="22.05" customHeight="1" s="27">
      <c r="A2" s="12" t="inlineStr">
        <is>
          <t>year</t>
        </is>
      </c>
      <c r="B2" s="12" t="inlineStr">
        <is>
          <t>N</t>
        </is>
      </c>
      <c r="C2" s="12" t="inlineStr">
        <is>
          <t>W</t>
        </is>
      </c>
      <c r="D2" s="12" t="inlineStr">
        <is>
          <t>MW</t>
        </is>
      </c>
      <c r="E2" s="12" t="inlineStr">
        <is>
          <t>WG</t>
        </is>
      </c>
      <c r="F2" s="12" t="inlineStr">
        <is>
          <t>Milk</t>
        </is>
      </c>
      <c r="G2" s="12" t="inlineStr">
        <is>
          <t>Fat</t>
        </is>
      </c>
      <c r="H2" s="12" t="inlineStr">
        <is>
          <t>pct_calving</t>
        </is>
      </c>
      <c r="I2" s="12" t="inlineStr">
        <is>
          <t>DE</t>
        </is>
      </c>
      <c r="J2" s="12" t="inlineStr">
        <is>
          <t>CP</t>
        </is>
      </c>
      <c r="K2" s="12" t="inlineStr">
        <is>
          <t>MilkPR</t>
        </is>
      </c>
    </row>
    <row r="3" ht="28.05" customHeight="1" s="27">
      <c r="A3" s="13" t="inlineStr">
        <is>
          <t>Calendar year</t>
        </is>
      </c>
      <c r="B3" s="13" t="inlineStr">
        <is>
          <t>No. of animals</t>
        </is>
      </c>
      <c r="C3" s="13" t="inlineStr">
        <is>
          <t>Avg. live body weight</t>
        </is>
      </c>
      <c r="D3" s="13" t="inlineStr">
        <is>
          <t>Mature body weight</t>
        </is>
      </c>
      <c r="E3" s="13" t="inlineStr">
        <is>
          <t>Daily weight gain</t>
        </is>
      </c>
      <c r="F3" s="13" t="inlineStr">
        <is>
          <t>Daily milk yield per cow</t>
        </is>
      </c>
      <c r="G3" s="13" t="inlineStr">
        <is>
          <t>Milk fat content</t>
        </is>
      </c>
      <c r="H3" s="13" t="inlineStr">
        <is>
          <t>Fraction of cows lactating</t>
        </is>
      </c>
      <c r="I3" s="13" t="inlineStr">
        <is>
          <t>Digestible energy</t>
        </is>
      </c>
      <c r="J3" s="13" t="inlineStr">
        <is>
          <t>Crude protein in diet</t>
        </is>
      </c>
      <c r="K3" s="13" t="inlineStr">
        <is>
          <t>Milk protein content</t>
        </is>
      </c>
    </row>
    <row r="4" ht="18" customHeight="1" s="27">
      <c r="A4" s="13" t="inlineStr">
        <is>
          <t>(label only)</t>
        </is>
      </c>
      <c r="B4" s="13" t="inlineStr">
        <is>
          <t>head</t>
        </is>
      </c>
      <c r="C4" s="13" t="inlineStr">
        <is>
          <t>kg</t>
        </is>
      </c>
      <c r="D4" s="13" t="inlineStr">
        <is>
          <t>kg</t>
        </is>
      </c>
      <c r="E4" s="13" t="inlineStr">
        <is>
          <t>kg/day</t>
        </is>
      </c>
      <c r="F4" s="13" t="inlineStr">
        <is>
          <t>kg/head/day</t>
        </is>
      </c>
      <c r="G4" s="13" t="inlineStr">
        <is>
          <t>%</t>
        </is>
      </c>
      <c r="H4" s="13" t="inlineStr">
        <is>
          <t>fraction (0-1)</t>
        </is>
      </c>
      <c r="I4" s="13" t="inlineStr">
        <is>
          <t>%</t>
        </is>
      </c>
      <c r="J4" s="13" t="inlineStr">
        <is>
          <t>%</t>
        </is>
      </c>
      <c r="K4" s="13" t="inlineStr">
        <is>
          <t>%</t>
        </is>
      </c>
    </row>
    <row r="5" ht="16.05" customHeight="1" s="27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</row>
    <row r="6" ht="16.05" customHeight="1" s="27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</row>
    <row r="7" ht="16.05" customHeight="1" s="2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</row>
    <row r="8" ht="16.05" customHeight="1" s="27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</row>
    <row r="9" ht="16.05" customHeight="1" s="27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</row>
    <row r="10" ht="16.05" customHeight="1" s="27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</row>
    <row r="11" ht="16.05" customHeight="1" s="27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</row>
    <row r="12" ht="16.05" customHeight="1" s="27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</row>
    <row r="13" ht="16.05" customHeight="1" s="27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</row>
    <row r="14" ht="16.05" customHeight="1" s="27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</row>
    <row r="15" ht="16.05" customHeight="1" s="27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</row>
    <row r="16" ht="16.05" customHeight="1" s="27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</row>
    <row r="17" ht="16.05" customHeight="1" s="2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</row>
    <row r="18" ht="16.05" customHeight="1" s="27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</row>
    <row r="19" ht="16.05" customHeight="1" s="27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</row>
    <row r="20" ht="16.05" customHeight="1" s="27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</row>
    <row r="21" ht="16.05" customHeight="1" s="27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</row>
    <row r="22" ht="16.05" customHeight="1" s="27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</row>
    <row r="23" ht="16.05" customHeight="1" s="27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</row>
    <row r="24" ht="16.05" customHeight="1" s="27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</row>
    <row r="26">
      <c r="A26" s="26" t="inlineStr">
        <is>
          <t>Add more rows above if needed. Enter one row per year, starting from row 5.</t>
        </is>
      </c>
    </row>
  </sheetData>
  <mergeCells count="2">
    <mergeCell ref="A1:K1"/>
    <mergeCell ref="A26:K26"/>
  </mergeCells>
  <pageMargins left="0.7" right="0.7" top="0.75" bottom="0.75" header="0.3" footer="0.3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2D6A4F"/>
    <outlinePr summaryBelow="1" summaryRight="1"/>
    <pageSetUpPr/>
  </sheetPr>
  <dimension ref="A1:M93"/>
  <sheetViews>
    <sheetView showGridLines="0" topLeftCell="A76" workbookViewId="0">
      <selection activeCell="A101" sqref="A101"/>
    </sheetView>
  </sheetViews>
  <sheetFormatPr baseColWidth="8" defaultColWidth="11.5546875" defaultRowHeight="13.8"/>
  <cols>
    <col width="18.6640625" customWidth="1" style="27" min="1" max="1"/>
    <col width="48.6640625" customWidth="1" style="27" min="2" max="2"/>
    <col width="18.6640625" customWidth="1" style="27" min="3" max="3"/>
    <col width="12.6640625" customWidth="1" style="27" min="4" max="4"/>
    <col width="14.6640625" customWidth="1" style="27" min="5" max="5"/>
    <col width="12.6640625" customWidth="1" style="27" min="6" max="6"/>
    <col width="16.6640625" customWidth="1" style="27" min="7" max="7"/>
    <col width="50.6640625" customWidth="1" style="27" min="8" max="8"/>
  </cols>
  <sheetData>
    <row r="1" ht="28.05" customHeight="1" s="27">
      <c r="A1" s="29" t="inlineStr">
        <is>
          <t>SECTION A — Parameter Catalogue</t>
        </is>
      </c>
    </row>
    <row r="2" ht="27.6" customHeight="1" s="27">
      <c r="A2" s="1" t="inlineStr">
        <is>
          <t>parameter</t>
        </is>
      </c>
      <c r="B2" s="1" t="inlineStr">
        <is>
          <t>definition</t>
        </is>
      </c>
      <c r="C2" s="1" t="inlineStr">
        <is>
          <t>unit</t>
        </is>
      </c>
      <c r="D2" s="1" t="inlineStr">
        <is>
          <t>ipcc_default</t>
        </is>
      </c>
      <c r="E2" s="1" t="inlineStr">
        <is>
          <t>suggested_unc_%</t>
        </is>
      </c>
      <c r="F2" s="1" t="inlineStr">
        <is>
          <t>suggested_distribution</t>
        </is>
      </c>
      <c r="G2" s="1" t="inlineStr">
        <is>
          <t>param_type</t>
        </is>
      </c>
      <c r="H2" s="1" t="inlineStr">
        <is>
          <t>ipcc_ref</t>
        </is>
      </c>
    </row>
    <row r="3" ht="22.05" customHeight="1" s="27">
      <c r="A3" s="17" t="inlineStr">
        <is>
          <t>N</t>
        </is>
      </c>
      <c r="B3" s="15" t="inlineStr">
        <is>
          <t>Number of animals in this sub-category</t>
        </is>
      </c>
      <c r="C3" s="15" t="inlineStr">
        <is>
          <t>head</t>
        </is>
      </c>
      <c r="D3" s="15" t="n"/>
      <c r="E3" s="15" t="n">
        <v>10</v>
      </c>
      <c r="F3" s="15" t="inlineStr">
        <is>
          <t>normal</t>
        </is>
      </c>
      <c r="G3" s="15" t="n"/>
      <c r="H3" s="15" t="n"/>
      <c r="I3" t="inlineStr">
        <is>
          <t>activity_data</t>
        </is>
      </c>
      <c r="J3" t="inlineStr">
        <is>
          <t>core</t>
        </is>
      </c>
      <c r="K3" t="b">
        <v>1</v>
      </c>
      <c r="M3" t="inlineStr">
        <is>
          <t>N(T) — Annual Average Population (head)</t>
        </is>
      </c>
    </row>
    <row r="4" ht="22.05" customHeight="1" s="27">
      <c r="A4" s="17" t="inlineStr">
        <is>
          <t>W</t>
        </is>
      </c>
      <c r="B4" s="16" t="inlineStr">
        <is>
          <t>Average live body weight of the animals</t>
        </is>
      </c>
      <c r="C4" s="16" t="inlineStr">
        <is>
          <t>kg</t>
        </is>
      </c>
      <c r="D4" s="16" t="n">
        <v>275</v>
      </c>
      <c r="E4" s="16" t="n">
        <v>15</v>
      </c>
      <c r="F4" s="16" t="inlineStr">
        <is>
          <t>normal</t>
        </is>
      </c>
      <c r="G4" s="16" t="n"/>
      <c r="H4" s="16" t="n"/>
      <c r="I4" t="inlineStr">
        <is>
          <t>coefficient</t>
        </is>
      </c>
      <c r="J4" t="inlineStr">
        <is>
          <t>core</t>
        </is>
      </c>
      <c r="K4" t="b">
        <v>1</v>
      </c>
      <c r="L4" t="inlineStr">
        <is>
          <t>Table 10A.2</t>
        </is>
      </c>
      <c r="M4" t="inlineStr">
        <is>
          <t>W — Live weight (kg) [also TAM = Typical Animal Mass]</t>
        </is>
      </c>
    </row>
    <row r="5" ht="22.05" customHeight="1" s="27">
      <c r="A5" s="17" t="inlineStr">
        <is>
          <t>MW</t>
        </is>
      </c>
      <c r="B5" s="15" t="inlineStr">
        <is>
          <t>Mature (adult) body weight of the animals</t>
        </is>
      </c>
      <c r="C5" s="15" t="inlineStr">
        <is>
          <t>kg</t>
        </is>
      </c>
      <c r="D5" s="15" t="n">
        <v>300</v>
      </c>
      <c r="E5" s="15" t="n">
        <v>10</v>
      </c>
      <c r="F5" s="15" t="inlineStr">
        <is>
          <t>normal</t>
        </is>
      </c>
      <c r="G5" s="15" t="n"/>
      <c r="H5" s="15" t="n"/>
      <c r="I5" t="inlineStr">
        <is>
          <t>coefficient</t>
        </is>
      </c>
      <c r="J5" t="inlineStr">
        <is>
          <t>core</t>
        </is>
      </c>
      <c r="K5" t="b">
        <v>1</v>
      </c>
      <c r="L5" t="inlineStr">
        <is>
          <t>Table 10A.2</t>
        </is>
      </c>
      <c r="M5" t="inlineStr">
        <is>
          <t>(MW) — Mature body weight, used in NEg equation</t>
        </is>
      </c>
    </row>
    <row r="6" ht="22.05" customHeight="1" s="27">
      <c r="A6" s="17" t="inlineStr">
        <is>
          <t>WG</t>
        </is>
      </c>
      <c r="B6" s="16" t="inlineStr">
        <is>
          <t>Average daily weight gain — set 0 for non-growing (adult) animals</t>
        </is>
      </c>
      <c r="C6" s="16" t="inlineStr">
        <is>
          <t>kg/day</t>
        </is>
      </c>
      <c r="D6" s="16" t="n">
        <v>0</v>
      </c>
      <c r="E6" s="16" t="n">
        <v>30</v>
      </c>
      <c r="F6" s="16" t="inlineStr">
        <is>
          <t>pert</t>
        </is>
      </c>
      <c r="G6" s="16" t="n"/>
      <c r="H6" s="16" t="n"/>
      <c r="I6" t="inlineStr">
        <is>
          <t>coefficient</t>
        </is>
      </c>
      <c r="J6" t="inlineStr">
        <is>
          <t>core</t>
        </is>
      </c>
      <c r="K6" t="b">
        <v>1</v>
      </c>
      <c r="L6" t="inlineStr">
        <is>
          <t>Table 10A.1</t>
        </is>
      </c>
      <c r="M6" t="inlineStr">
        <is>
          <t>WG — Daily weight gain (Average Daily Feed Intake tab)</t>
        </is>
      </c>
    </row>
    <row r="7" ht="22.05" customHeight="1" s="27">
      <c r="A7" s="17" t="inlineStr">
        <is>
          <t>Milk</t>
        </is>
      </c>
      <c r="B7" s="15" t="inlineStr">
        <is>
          <t>Daily milk yield per lactating cow — set 0 for non-dairy sub-categories</t>
        </is>
      </c>
      <c r="C7" s="15" t="inlineStr">
        <is>
          <t>kg/head/day</t>
        </is>
      </c>
      <c r="D7" s="15" t="n">
        <v>4</v>
      </c>
      <c r="E7" s="15" t="n">
        <v>20</v>
      </c>
      <c r="F7" s="15" t="inlineStr">
        <is>
          <t>normal</t>
        </is>
      </c>
      <c r="G7" s="15" t="n"/>
      <c r="H7" s="15" t="n"/>
      <c r="I7" t="inlineStr">
        <is>
          <t>coefficient</t>
        </is>
      </c>
      <c r="J7" t="inlineStr">
        <is>
          <t>core</t>
        </is>
      </c>
      <c r="K7" t="b">
        <v>1</v>
      </c>
      <c r="M7" t="inlineStr">
        <is>
          <t>Milk — Average daily milk production (kg/day)</t>
        </is>
      </c>
    </row>
    <row r="8" ht="22.05" customHeight="1" s="27">
      <c r="A8" s="17" t="inlineStr">
        <is>
          <t>Fat</t>
        </is>
      </c>
      <c r="B8" s="16" t="inlineStr">
        <is>
          <t>Milk fat content of the diet</t>
        </is>
      </c>
      <c r="C8" s="16" t="inlineStr">
        <is>
          <t>%</t>
        </is>
      </c>
      <c r="D8" s="16" t="n">
        <v>4</v>
      </c>
      <c r="E8" s="16" t="n">
        <v>10</v>
      </c>
      <c r="F8" s="16" t="inlineStr">
        <is>
          <t>normal</t>
        </is>
      </c>
      <c r="G8" s="16" t="n"/>
      <c r="H8" s="16" t="n"/>
      <c r="I8" t="inlineStr">
        <is>
          <t>coefficient</t>
        </is>
      </c>
      <c r="J8" t="inlineStr">
        <is>
          <t>core</t>
        </is>
      </c>
      <c r="K8" t="b">
        <v>1</v>
      </c>
      <c r="M8" t="inlineStr">
        <is>
          <t>Fat — Fat content of milk (% by weight)</t>
        </is>
      </c>
    </row>
    <row r="9" ht="22.05" customHeight="1" s="27">
      <c r="A9" s="17" t="inlineStr">
        <is>
          <t>pct_calving</t>
        </is>
      </c>
      <c r="B9" s="15" t="inlineStr">
        <is>
          <t>Fraction of cows currently lactating (0 to 1)</t>
        </is>
      </c>
      <c r="C9" s="15" t="inlineStr">
        <is>
          <t>fraction (0-1)</t>
        </is>
      </c>
      <c r="D9" s="15" t="n">
        <v>0.6</v>
      </c>
      <c r="E9" s="15" t="n">
        <v>20</v>
      </c>
      <c r="F9" s="15" t="inlineStr">
        <is>
          <t>beta</t>
        </is>
      </c>
      <c r="G9" s="15" t="n"/>
      <c r="H9" s="15" t="n"/>
      <c r="I9" t="inlineStr">
        <is>
          <t>coefficient</t>
        </is>
      </c>
      <c r="J9" t="inlineStr">
        <is>
          <t>core</t>
        </is>
      </c>
      <c r="K9" t="b">
        <v>1</v>
      </c>
      <c r="M9" t="inlineStr">
        <is>
          <t>(% lactating) — derived from herd-structure data</t>
        </is>
      </c>
    </row>
    <row r="10" ht="22.05" customHeight="1" s="27">
      <c r="A10" s="17" t="inlineStr">
        <is>
          <t>DE</t>
        </is>
      </c>
      <c r="B10" s="16" t="inlineStr">
        <is>
          <t>Digestible energy as a percentage of gross energy — typical range 45-75%</t>
        </is>
      </c>
      <c r="C10" s="16" t="inlineStr">
        <is>
          <t>%</t>
        </is>
      </c>
      <c r="D10" s="16" t="n">
        <v>55</v>
      </c>
      <c r="E10" s="16" t="n">
        <v>15</v>
      </c>
      <c r="F10" s="16" t="inlineStr">
        <is>
          <t>normal</t>
        </is>
      </c>
      <c r="G10" s="16" t="n"/>
      <c r="H10" s="16" t="n"/>
      <c r="I10" t="inlineStr">
        <is>
          <t>coefficient</t>
        </is>
      </c>
      <c r="J10" t="inlineStr">
        <is>
          <t>core</t>
        </is>
      </c>
      <c r="K10" t="b">
        <v>1</v>
      </c>
      <c r="L10" t="inlineStr">
        <is>
          <t>Table 10.2</t>
        </is>
      </c>
      <c r="M10" t="inlineStr">
        <is>
          <t>DE% — Feed digestibility (%)</t>
        </is>
      </c>
    </row>
    <row r="11" ht="22.05" customHeight="1" s="27">
      <c r="A11" s="17" t="inlineStr">
        <is>
          <t>Cfi</t>
        </is>
      </c>
      <c r="B11" s="15" t="inlineStr">
        <is>
          <t>Maintenance energy coefficient — depends on sex and lactation status (IPCC Table 10.4)</t>
        </is>
      </c>
      <c r="C11" s="15" t="inlineStr">
        <is>
          <t>MJ/day/kg^0.75</t>
        </is>
      </c>
      <c r="D11" s="15" t="n">
        <v>0.386</v>
      </c>
      <c r="E11" s="15" t="n">
        <v>30</v>
      </c>
      <c r="F11" s="15" t="inlineStr">
        <is>
          <t>pert</t>
        </is>
      </c>
      <c r="G11" s="15" t="n"/>
      <c r="H11" s="15" t="n"/>
      <c r="I11" t="inlineStr">
        <is>
          <t>coefficient</t>
        </is>
      </c>
      <c r="J11" t="inlineStr">
        <is>
          <t>technical</t>
        </is>
      </c>
      <c r="K11" t="b">
        <v>0</v>
      </c>
      <c r="L11" t="inlineStr">
        <is>
          <t>Table 10.4</t>
        </is>
      </c>
      <c r="M11" t="inlineStr">
        <is>
          <t>Cfi — Coefficient for calculating Net Energy for Maintenance</t>
        </is>
      </c>
    </row>
    <row r="12" ht="22.05" customHeight="1" s="27">
      <c r="A12" s="17" t="inlineStr">
        <is>
          <t>Ca</t>
        </is>
      </c>
      <c r="B12" s="16" t="inlineStr">
        <is>
          <t>Activity coefficient for locomotion energy — depends on feeding situation (IPCC Table 10.5)</t>
        </is>
      </c>
      <c r="C12" s="16" t="inlineStr">
        <is>
          <t>dimensionless</t>
        </is>
      </c>
      <c r="D12" s="16" t="n">
        <v>0.17</v>
      </c>
      <c r="E12" s="16" t="n">
        <v>30</v>
      </c>
      <c r="F12" s="16" t="inlineStr">
        <is>
          <t>triangular</t>
        </is>
      </c>
      <c r="G12" s="16" t="n"/>
      <c r="H12" s="16" t="n"/>
      <c r="I12" t="inlineStr">
        <is>
          <t>coefficient</t>
        </is>
      </c>
      <c r="J12" t="inlineStr">
        <is>
          <t>technical</t>
        </is>
      </c>
      <c r="K12" t="b">
        <v>0</v>
      </c>
      <c r="L12" t="inlineStr">
        <is>
          <t>Table 10.5</t>
        </is>
      </c>
      <c r="M12" t="inlineStr">
        <is>
          <t>Ca — Activity coefficient</t>
        </is>
      </c>
    </row>
    <row r="13" ht="22.05" customHeight="1" s="27">
      <c r="A13" s="17" t="inlineStr">
        <is>
          <t>C</t>
        </is>
      </c>
      <c r="B13" s="15" t="inlineStr">
        <is>
          <t>Growth coefficient for the NEg equation — depends on sex (IPCC Eq 10.6)</t>
        </is>
      </c>
      <c r="C13" s="15" t="inlineStr">
        <is>
          <t>dimensionless</t>
        </is>
      </c>
      <c r="D13" s="15" t="n">
        <v>0.8</v>
      </c>
      <c r="E13" s="15" t="n">
        <v>30</v>
      </c>
      <c r="F13" s="15" t="inlineStr">
        <is>
          <t>triangular</t>
        </is>
      </c>
      <c r="G13" s="15" t="n"/>
      <c r="H13" s="15" t="n"/>
      <c r="I13" t="inlineStr">
        <is>
          <t>coefficient</t>
        </is>
      </c>
      <c r="J13" t="inlineStr">
        <is>
          <t>technical</t>
        </is>
      </c>
      <c r="K13" t="b">
        <v>0</v>
      </c>
      <c r="L13" t="inlineStr">
        <is>
          <t>Eq 10.6</t>
        </is>
      </c>
      <c r="M13" t="inlineStr">
        <is>
          <t>(C) — Growth coefficient (sex-dependent: female 0.8 / castrate 1.0 / bull 1.2)</t>
        </is>
      </c>
    </row>
    <row r="14" ht="22.05" customHeight="1" s="27">
      <c r="A14" s="17" t="inlineStr">
        <is>
          <t>Cp</t>
        </is>
      </c>
      <c r="B14" s="16" t="inlineStr">
        <is>
          <t>Pregnancy coefficient — 0.10 for pregnant animals (IPCC Table 10.7)</t>
        </is>
      </c>
      <c r="C14" s="16" t="inlineStr">
        <is>
          <t>dimensionless</t>
        </is>
      </c>
      <c r="D14" s="16" t="n">
        <v>0.1</v>
      </c>
      <c r="E14" s="16" t="n">
        <v>10</v>
      </c>
      <c r="F14" s="16" t="inlineStr">
        <is>
          <t>beta</t>
        </is>
      </c>
      <c r="G14" s="16" t="n"/>
      <c r="H14" s="16" t="n"/>
      <c r="I14" t="inlineStr">
        <is>
          <t>coefficient</t>
        </is>
      </c>
      <c r="J14" t="inlineStr">
        <is>
          <t>technical</t>
        </is>
      </c>
      <c r="K14" t="b">
        <v>0</v>
      </c>
      <c r="L14" t="inlineStr">
        <is>
          <t>Table 10.7</t>
        </is>
      </c>
      <c r="M14" t="inlineStr">
        <is>
          <t>Cpregnancy — Coefficient for calculating Net Energy for Pregnancy</t>
        </is>
      </c>
    </row>
    <row r="15" ht="22.05" customHeight="1" s="27">
      <c r="A15" s="17" t="inlineStr">
        <is>
          <t>hours</t>
        </is>
      </c>
      <c r="B15" s="15" t="inlineStr">
        <is>
          <t>Daily working hours for draft animals — set 0 for non-draft</t>
        </is>
      </c>
      <c r="C15" s="15" t="inlineStr">
        <is>
          <t>hours/day</t>
        </is>
      </c>
      <c r="D15" s="15" t="n">
        <v>0</v>
      </c>
      <c r="E15" s="15" t="n">
        <v>20</v>
      </c>
      <c r="F15" s="15" t="inlineStr">
        <is>
          <t>pert</t>
        </is>
      </c>
      <c r="G15" s="15" t="n"/>
      <c r="H15" s="15" t="n"/>
      <c r="I15" t="inlineStr">
        <is>
          <t>coefficient</t>
        </is>
      </c>
      <c r="J15" t="inlineStr">
        <is>
          <t>core</t>
        </is>
      </c>
      <c r="K15" t="b">
        <v>1</v>
      </c>
      <c r="L15" t="inlineStr">
        <is>
          <t>Eq 10.11</t>
        </is>
      </c>
      <c r="M15" t="inlineStr">
        <is>
          <t>(hours) — Daily working hours (draft animals)</t>
        </is>
      </c>
    </row>
    <row r="16" ht="22.05" customHeight="1" s="27">
      <c r="A16" s="17" t="inlineStr">
        <is>
          <t>CP</t>
        </is>
      </c>
      <c r="B16" s="16" t="inlineStr">
        <is>
          <t>Crude protein content of the diet — used to estimate nitrogen excretion</t>
        </is>
      </c>
      <c r="C16" s="16" t="inlineStr">
        <is>
          <t>%</t>
        </is>
      </c>
      <c r="D16" s="16" t="n">
        <v>10</v>
      </c>
      <c r="E16" s="16" t="n">
        <v>15</v>
      </c>
      <c r="F16" s="16" t="inlineStr">
        <is>
          <t>normal</t>
        </is>
      </c>
      <c r="G16" s="16" t="n"/>
      <c r="H16" s="16" t="n"/>
      <c r="I16" t="inlineStr">
        <is>
          <t>coefficient</t>
        </is>
      </c>
      <c r="J16" t="inlineStr">
        <is>
          <t>core</t>
        </is>
      </c>
      <c r="K16" t="b">
        <v>1</v>
      </c>
      <c r="M16" t="inlineStr">
        <is>
          <t>CP% — Percent crude protein in diet</t>
        </is>
      </c>
    </row>
    <row r="17" ht="22.05" customHeight="1" s="27">
      <c r="A17" s="17" t="inlineStr">
        <is>
          <t>Ym</t>
        </is>
      </c>
      <c r="B17" s="15" t="inlineStr">
        <is>
          <t>Methane conversion factor: % of gross energy converted to enteric CH4 (IPCC Table 10.12)</t>
        </is>
      </c>
      <c r="C17" s="15" t="inlineStr">
        <is>
          <t>%</t>
        </is>
      </c>
      <c r="D17" s="15" t="n">
        <v>6.5</v>
      </c>
      <c r="E17" s="15" t="n">
        <v>8</v>
      </c>
      <c r="F17" s="15" t="inlineStr">
        <is>
          <t>pert</t>
        </is>
      </c>
      <c r="G17" s="15" t="n"/>
      <c r="H17" s="15" t="n"/>
      <c r="I17" t="inlineStr">
        <is>
          <t>coefficient</t>
        </is>
      </c>
      <c r="J17" t="inlineStr">
        <is>
          <t>technical</t>
        </is>
      </c>
      <c r="K17" t="b">
        <v>0</v>
      </c>
      <c r="L17" t="inlineStr">
        <is>
          <t>Table 10.12</t>
        </is>
      </c>
      <c r="M17" t="inlineStr">
        <is>
          <t>Ym — Methane conversion factor (% of GE → CH4)</t>
        </is>
      </c>
    </row>
    <row r="18" ht="22.05" customHeight="1" s="27">
      <c r="A18" s="17" t="inlineStr">
        <is>
          <t>Bo</t>
        </is>
      </c>
      <c r="B18" s="16" t="inlineStr">
        <is>
          <t>Maximum CH4 producing capacity of manure (IPCC Table 10.16)</t>
        </is>
      </c>
      <c r="C18" s="16" t="inlineStr">
        <is>
          <t>m3 CH4/kg VS</t>
        </is>
      </c>
      <c r="D18" s="16" t="n">
        <v>0.1</v>
      </c>
      <c r="E18" s="16" t="n">
        <v>20</v>
      </c>
      <c r="F18" s="16" t="inlineStr">
        <is>
          <t>pert</t>
        </is>
      </c>
      <c r="G18" s="16" t="n"/>
      <c r="H18" s="16" t="n"/>
      <c r="I18" t="inlineStr">
        <is>
          <t>coefficient</t>
        </is>
      </c>
      <c r="J18" t="inlineStr">
        <is>
          <t>technical</t>
        </is>
      </c>
      <c r="K18" t="b">
        <v>0</v>
      </c>
      <c r="L18" t="inlineStr">
        <is>
          <t>Table 10.16</t>
        </is>
      </c>
      <c r="M18" t="inlineStr">
        <is>
          <t>Bo — Maximum methane producing capacity</t>
        </is>
      </c>
    </row>
    <row r="19" ht="22.05" customHeight="1" s="27">
      <c r="A19" s="17" t="inlineStr">
        <is>
          <t>ASH</t>
        </is>
      </c>
      <c r="B19" s="15" t="inlineStr">
        <is>
          <t>Ash content of manure — IPCC default 0.08 (Eq 10.24 footnote)</t>
        </is>
      </c>
      <c r="C19" s="15" t="inlineStr">
        <is>
          <t>fraction</t>
        </is>
      </c>
      <c r="D19" s="15" t="n">
        <v>0.08</v>
      </c>
      <c r="E19" s="15" t="n">
        <v>25</v>
      </c>
      <c r="F19" s="15" t="inlineStr">
        <is>
          <t>pert</t>
        </is>
      </c>
      <c r="G19" s="15" t="n"/>
      <c r="H19" s="15" t="n"/>
      <c r="I19" t="inlineStr">
        <is>
          <t>coefficient</t>
        </is>
      </c>
      <c r="J19" t="inlineStr">
        <is>
          <t>technical</t>
        </is>
      </c>
      <c r="K19" t="b">
        <v>0</v>
      </c>
      <c r="L19" t="inlineStr">
        <is>
          <t>Eq 10.24</t>
        </is>
      </c>
      <c r="M19" t="inlineStr">
        <is>
          <t>ASH — Ash content of manure (fraction of dry matter)</t>
        </is>
      </c>
    </row>
    <row r="20" ht="22.05" customHeight="1" s="27">
      <c r="A20" s="17" t="inlineStr">
        <is>
          <t>UE</t>
        </is>
      </c>
      <c r="B20" s="16" t="inlineStr">
        <is>
          <t>Urinary energy as fraction of gross energy — IPCC default 0.04 (Eq 10.24 footnote)</t>
        </is>
      </c>
      <c r="C20" s="16" t="inlineStr">
        <is>
          <t>fraction</t>
        </is>
      </c>
      <c r="D20" s="16" t="n">
        <v>0.04</v>
      </c>
      <c r="E20" s="16" t="n">
        <v>25</v>
      </c>
      <c r="F20" s="16" t="inlineStr">
        <is>
          <t>pert</t>
        </is>
      </c>
      <c r="G20" s="16" t="n"/>
      <c r="H20" s="16" t="n"/>
      <c r="I20" t="inlineStr">
        <is>
          <t>coefficient</t>
        </is>
      </c>
      <c r="J20" t="inlineStr">
        <is>
          <t>technical</t>
        </is>
      </c>
      <c r="K20" t="b">
        <v>0</v>
      </c>
      <c r="L20" t="inlineStr">
        <is>
          <t>Eq 10.24</t>
        </is>
      </c>
      <c r="M20" t="inlineStr">
        <is>
          <t>UE — Urinary Energy fraction of GE</t>
        </is>
      </c>
    </row>
    <row r="21" ht="22.05" customHeight="1" s="27">
      <c r="A21" s="17" t="inlineStr">
        <is>
          <t>EF3_PRP</t>
        </is>
      </c>
      <c r="B21" s="15" t="inlineStr">
        <is>
          <t>N2O emission factor for dung/urine deposited on pasture (IPCC Table 11.1)</t>
        </is>
      </c>
      <c r="C21" s="15" t="inlineStr">
        <is>
          <t>kg N2O-N/kg N</t>
        </is>
      </c>
      <c r="D21" s="15" t="n">
        <v>0.02</v>
      </c>
      <c r="E21" s="15" t="n"/>
      <c r="F21" s="15" t="inlineStr">
        <is>
          <t>pert</t>
        </is>
      </c>
      <c r="G21" s="15" t="n">
        <v>0.003</v>
      </c>
      <c r="H21" s="15" t="n">
        <v>0.04</v>
      </c>
      <c r="I21" t="inlineStr">
        <is>
          <t>coefficient</t>
        </is>
      </c>
      <c r="J21" t="inlineStr">
        <is>
          <t>technical</t>
        </is>
      </c>
      <c r="K21" t="b">
        <v>0</v>
      </c>
      <c r="L21" t="inlineStr">
        <is>
          <t>Table 11.1</t>
        </is>
      </c>
      <c r="M21" t="inlineStr">
        <is>
          <t>EF3(PRP) — Direct N2O EF, manure on pasture/range/paddock</t>
        </is>
      </c>
    </row>
    <row r="22" ht="22.05" customHeight="1" s="27">
      <c r="A22" s="17" t="inlineStr">
        <is>
          <t>Frac_GASMS</t>
        </is>
      </c>
      <c r="B22" s="16" t="inlineStr">
        <is>
          <t>Fraction of managed manure N volatilised as NH3/NOx (IPCC Table 10.22)</t>
        </is>
      </c>
      <c r="C22" s="16" t="inlineStr">
        <is>
          <t>fraction</t>
        </is>
      </c>
      <c r="D22" s="16" t="n">
        <v>0.2</v>
      </c>
      <c r="E22" s="16" t="n">
        <v>40</v>
      </c>
      <c r="F22" s="16" t="inlineStr">
        <is>
          <t>pert</t>
        </is>
      </c>
      <c r="G22" s="16" t="n"/>
      <c r="H22" s="16" t="n"/>
      <c r="I22" t="inlineStr">
        <is>
          <t>coefficient</t>
        </is>
      </c>
      <c r="J22" t="inlineStr">
        <is>
          <t>technical</t>
        </is>
      </c>
      <c r="K22" t="b">
        <v>0</v>
      </c>
      <c r="L22" t="inlineStr">
        <is>
          <t>Table 10.22</t>
        </is>
      </c>
      <c r="M22" t="inlineStr">
        <is>
          <t>Frac_GASMS — Fraction of N volatilised from MMS</t>
        </is>
      </c>
    </row>
    <row r="23" ht="22.05" customHeight="1" s="27">
      <c r="A23" s="17" t="inlineStr">
        <is>
          <t>EF4</t>
        </is>
      </c>
      <c r="B23" s="15" t="inlineStr">
        <is>
          <t>N2O EF for atmospheric N deposition — global default 0.010 (IPCC Table 11.3)</t>
        </is>
      </c>
      <c r="C23" s="15" t="inlineStr">
        <is>
          <t>kg N2O-N/kg N</t>
        </is>
      </c>
      <c r="D23" s="15" t="n">
        <v>0.01</v>
      </c>
      <c r="E23" s="15" t="n"/>
      <c r="F23" s="15" t="inlineStr">
        <is>
          <t>lognormal</t>
        </is>
      </c>
      <c r="G23" s="15" t="n">
        <v>0.0043</v>
      </c>
      <c r="H23" s="15" t="n">
        <v>0.02</v>
      </c>
      <c r="I23" t="inlineStr">
        <is>
          <t>coefficient</t>
        </is>
      </c>
      <c r="J23" t="inlineStr">
        <is>
          <t>technical</t>
        </is>
      </c>
      <c r="K23" t="b">
        <v>0</v>
      </c>
      <c r="L23" t="inlineStr">
        <is>
          <t>Table 11.3</t>
        </is>
      </c>
      <c r="M23" t="inlineStr">
        <is>
          <t>EF4 — N2O EF for atmospheric N deposition (Vol 4 Ch 11)</t>
        </is>
      </c>
    </row>
    <row r="24" ht="22.05" customHeight="1" s="27">
      <c r="A24" s="17" t="inlineStr">
        <is>
          <t>EF5</t>
        </is>
      </c>
      <c r="B24" s="16" t="inlineStr">
        <is>
          <t>N2O EF for N leaching/runoff — global default 0.0075 (IPCC Table 11.3)</t>
        </is>
      </c>
      <c r="C24" s="16" t="inlineStr">
        <is>
          <t>kg N2O-N/kg N</t>
        </is>
      </c>
      <c r="D24" s="16" t="n">
        <v>0.0075</v>
      </c>
      <c r="E24" s="16" t="n"/>
      <c r="F24" s="16" t="inlineStr">
        <is>
          <t>lognormal</t>
        </is>
      </c>
      <c r="G24" s="16" t="n">
        <v>0.0015</v>
      </c>
      <c r="H24" s="16" t="n">
        <v>0.0225</v>
      </c>
      <c r="I24" t="inlineStr">
        <is>
          <t>coefficient</t>
        </is>
      </c>
      <c r="J24" t="inlineStr">
        <is>
          <t>technical</t>
        </is>
      </c>
      <c r="K24" t="b">
        <v>0</v>
      </c>
      <c r="L24" t="inlineStr">
        <is>
          <t>Table 11.3</t>
        </is>
      </c>
      <c r="M24" t="inlineStr">
        <is>
          <t>EF5 — N2O EF for N leaching/runoff (Vol 4 Ch 11)</t>
        </is>
      </c>
    </row>
    <row r="25" ht="22.05" customHeight="1" s="27">
      <c r="A25" s="17" t="inlineStr">
        <is>
          <t>Frac_LEACH_H</t>
        </is>
      </c>
      <c r="B25" s="15" t="inlineStr">
        <is>
          <t>Fraction of managed N lost through leaching — IPCC default 0.02</t>
        </is>
      </c>
      <c r="C25" s="15" t="inlineStr">
        <is>
          <t>fraction</t>
        </is>
      </c>
      <c r="D25" s="15" t="n">
        <v>0.02</v>
      </c>
      <c r="E25" s="15" t="n"/>
      <c r="F25" s="15" t="inlineStr">
        <is>
          <t>lognormal</t>
        </is>
      </c>
      <c r="G25" s="15" t="n">
        <v>0.006</v>
      </c>
      <c r="H25" s="15" t="n">
        <v>0.054</v>
      </c>
      <c r="I25" t="inlineStr">
        <is>
          <t>coefficient</t>
        </is>
      </c>
      <c r="J25" t="inlineStr">
        <is>
          <t>technical</t>
        </is>
      </c>
      <c r="K25" t="b">
        <v>0</v>
      </c>
      <c r="L25" t="inlineStr">
        <is>
          <t>Table 11.3</t>
        </is>
      </c>
      <c r="M25" t="inlineStr">
        <is>
          <t>Frac_LEACH(H) — Fraction of managed N lost through leaching</t>
        </is>
      </c>
    </row>
    <row r="26" ht="22.05" customHeight="1" s="27">
      <c r="A26" s="17" t="inlineStr">
        <is>
          <t>MilkPR</t>
        </is>
      </c>
      <c r="B26" s="16" t="inlineStr">
        <is>
          <t>Protein content of milk — required for IPCC 2019 nitrogen excretion (Eq 10.32A)</t>
        </is>
      </c>
      <c r="C26" s="16" t="inlineStr">
        <is>
          <t>%</t>
        </is>
      </c>
      <c r="D26" s="16" t="n">
        <v>3.3</v>
      </c>
      <c r="E26" s="16" t="n">
        <v>10</v>
      </c>
      <c r="F26" s="16" t="inlineStr">
        <is>
          <t>normal</t>
        </is>
      </c>
      <c r="G26" s="16" t="n"/>
      <c r="H26" s="16" t="n"/>
      <c r="I26" t="inlineStr">
        <is>
          <t>coefficient</t>
        </is>
      </c>
      <c r="J26" t="inlineStr">
        <is>
          <t>core</t>
        </is>
      </c>
      <c r="K26" t="b">
        <v>1</v>
      </c>
      <c r="L26" t="inlineStr">
        <is>
          <t>Table 10A.2</t>
        </is>
      </c>
      <c r="M26" t="inlineStr">
        <is>
          <t>Milk PR% — Milk protein content (1.9 + 0.4*Fat)</t>
        </is>
      </c>
    </row>
    <row r="27"/>
    <row r="28" ht="28.05" customHeight="1" s="27">
      <c r="A28" s="29" t="inlineStr">
        <is>
          <t>SECTION B — Controlled Vocabulary</t>
        </is>
      </c>
    </row>
    <row r="29" ht="22.05" customHeight="1" s="27">
      <c r="A29" s="28" t="inlineStr">
        <is>
          <t>species (Inventory_Metadata dropdown)</t>
        </is>
      </c>
    </row>
    <row r="30">
      <c r="A30" s="1" t="inlineStr">
        <is>
          <t>term</t>
        </is>
      </c>
      <c r="B30" s="1" t="inlineStr">
        <is>
          <t>label</t>
        </is>
      </c>
      <c r="C30" s="1" t="inlineStr">
        <is>
          <t>used_in</t>
        </is>
      </c>
    </row>
    <row r="31">
      <c r="A31" s="17" t="inlineStr">
        <is>
          <t>cattle_dairy</t>
        </is>
      </c>
      <c r="B31" s="18" t="inlineStr">
        <is>
          <t>Cattle — dairy breeds</t>
        </is>
      </c>
      <c r="C31" s="18" t="inlineStr">
        <is>
          <t>Inventory_Metadata.species</t>
        </is>
      </c>
    </row>
    <row r="32">
      <c r="A32" s="20" t="inlineStr">
        <is>
          <t>cattle_non_dairy</t>
        </is>
      </c>
      <c r="B32" s="19" t="inlineStr">
        <is>
          <t>Cattle — non-dairy / beef / multipurpose</t>
        </is>
      </c>
      <c r="C32" s="19" t="inlineStr">
        <is>
          <t>Inventory_Metadata.species</t>
        </is>
      </c>
    </row>
    <row r="33">
      <c r="A33" s="17" t="inlineStr">
        <is>
          <t>buffalo</t>
        </is>
      </c>
      <c r="B33" s="18" t="inlineStr">
        <is>
          <t>Buffalo</t>
        </is>
      </c>
      <c r="C33" s="18" t="inlineStr">
        <is>
          <t>Inventory_Metadata.species</t>
        </is>
      </c>
    </row>
    <row r="34"/>
    <row r="35" ht="22.05" customHeight="1" s="27">
      <c r="A35" s="28" t="inlineStr">
        <is>
          <t>IPCC Table 10.17 — MCF (%) by climate zone  [enter values into Manure_Management sheet]</t>
        </is>
      </c>
    </row>
    <row r="36">
      <c r="A36" s="1" t="inlineStr">
        <is>
          <t>mms_type</t>
        </is>
      </c>
      <c r="B36" s="1" t="inlineStr">
        <is>
          <t>tropical_moist_%</t>
        </is>
      </c>
      <c r="C36" s="1" t="inlineStr">
        <is>
          <t>tropical_dry_%</t>
        </is>
      </c>
      <c r="D36" s="1" t="inlineStr">
        <is>
          <t>temperate_%</t>
        </is>
      </c>
      <c r="E36" s="1" t="inlineStr">
        <is>
          <t>boreal_%</t>
        </is>
      </c>
    </row>
    <row r="37">
      <c r="A37" s="17" t="inlineStr">
        <is>
          <t>pasture</t>
        </is>
      </c>
      <c r="B37" s="18" t="n">
        <v>1.5</v>
      </c>
      <c r="C37" s="18" t="n">
        <v>1.5</v>
      </c>
      <c r="D37" s="18" t="n">
        <v>1</v>
      </c>
      <c r="E37" s="18" t="n">
        <v>1</v>
      </c>
    </row>
    <row r="38">
      <c r="A38" s="20" t="inlineStr">
        <is>
          <t>daily_spread</t>
        </is>
      </c>
      <c r="B38" s="19" t="n">
        <v>1</v>
      </c>
      <c r="C38" s="19" t="n">
        <v>1</v>
      </c>
      <c r="D38" s="19" t="n">
        <v>0.5</v>
      </c>
      <c r="E38" s="19" t="n">
        <v>0.1</v>
      </c>
    </row>
    <row r="39">
      <c r="A39" s="17" t="inlineStr">
        <is>
          <t>solid_storage</t>
        </is>
      </c>
      <c r="B39" s="18" t="n">
        <v>5</v>
      </c>
      <c r="C39" s="18" t="n">
        <v>5</v>
      </c>
      <c r="D39" s="18" t="n">
        <v>4</v>
      </c>
      <c r="E39" s="18" t="n">
        <v>3</v>
      </c>
    </row>
    <row r="40">
      <c r="A40" s="20" t="inlineStr">
        <is>
          <t>solid_storage_covered</t>
        </is>
      </c>
      <c r="B40" s="19" t="n">
        <v>4</v>
      </c>
      <c r="C40" s="19" t="n">
        <v>4</v>
      </c>
      <c r="D40" s="19" t="n">
        <v>2</v>
      </c>
      <c r="E40" s="19" t="n">
        <v>1</v>
      </c>
    </row>
    <row r="41">
      <c r="A41" s="17" t="inlineStr">
        <is>
          <t>dry_lot</t>
        </is>
      </c>
      <c r="B41" s="18" t="n">
        <v>5</v>
      </c>
      <c r="C41" s="18" t="n">
        <v>5</v>
      </c>
      <c r="D41" s="18" t="n">
        <v>1.5</v>
      </c>
      <c r="E41" s="18" t="n">
        <v>1</v>
      </c>
    </row>
    <row r="42">
      <c r="A42" s="20" t="inlineStr">
        <is>
          <t>deep_bedding</t>
        </is>
      </c>
      <c r="B42" s="19" t="n">
        <v>30</v>
      </c>
      <c r="C42" s="19" t="n">
        <v>30</v>
      </c>
      <c r="D42" s="19" t="n">
        <v>17</v>
      </c>
      <c r="E42" s="19" t="n">
        <v>3</v>
      </c>
    </row>
    <row r="43">
      <c r="A43" s="17" t="inlineStr">
        <is>
          <t>liquid_slurry</t>
        </is>
      </c>
      <c r="B43" s="18" t="n">
        <v>80</v>
      </c>
      <c r="C43" s="18" t="n">
        <v>80</v>
      </c>
      <c r="D43" s="18" t="n">
        <v>35</v>
      </c>
      <c r="E43" s="18" t="n">
        <v>10</v>
      </c>
    </row>
    <row r="44">
      <c r="A44" s="20" t="inlineStr">
        <is>
          <t>composting</t>
        </is>
      </c>
      <c r="B44" s="19" t="n">
        <v>1.5</v>
      </c>
      <c r="C44" s="19" t="n">
        <v>1.5</v>
      </c>
      <c r="D44" s="19" t="n">
        <v>1</v>
      </c>
      <c r="E44" s="19" t="n">
        <v>0.5</v>
      </c>
    </row>
    <row r="45">
      <c r="A45" s="17" t="inlineStr">
        <is>
          <t>lagoon</t>
        </is>
      </c>
      <c r="B45" s="18" t="n">
        <v>80</v>
      </c>
      <c r="C45" s="18" t="n">
        <v>80</v>
      </c>
      <c r="D45" s="18" t="n">
        <v>66</v>
      </c>
      <c r="E45" s="18" t="n">
        <v>66</v>
      </c>
    </row>
    <row r="46">
      <c r="A46" s="20" t="inlineStr">
        <is>
          <t>anaerobic_digester</t>
        </is>
      </c>
      <c r="B46" s="19" t="n">
        <v>3.5</v>
      </c>
      <c r="C46" s="19" t="n">
        <v>3.5</v>
      </c>
      <c r="D46" s="19" t="n">
        <v>1</v>
      </c>
      <c r="E46" s="19" t="n">
        <v>1</v>
      </c>
    </row>
    <row r="47">
      <c r="A47" s="17" t="inlineStr">
        <is>
          <t>aerobic_treatment</t>
        </is>
      </c>
      <c r="B47" s="18" t="n">
        <v>0</v>
      </c>
      <c r="C47" s="18" t="n">
        <v>0</v>
      </c>
      <c r="D47" s="18" t="n">
        <v>0</v>
      </c>
      <c r="E47" s="18" t="n">
        <v>0</v>
      </c>
    </row>
    <row r="48">
      <c r="A48" s="20" t="inlineStr">
        <is>
          <t>burned_for_fuel</t>
        </is>
      </c>
      <c r="B48" s="19" t="n">
        <v>10</v>
      </c>
      <c r="C48" s="19" t="n">
        <v>10</v>
      </c>
      <c r="D48" s="19" t="n">
        <v>10</v>
      </c>
      <c r="E48" s="19" t="n">
        <v>10</v>
      </c>
    </row>
    <row r="49"/>
    <row r="50" ht="22.05" customHeight="1" s="27">
      <c r="A50" s="28" t="inlineStr">
        <is>
          <t>mms_type (manure management system)</t>
        </is>
      </c>
    </row>
    <row r="51" ht="27.6" customHeight="1" s="27">
      <c r="A51" s="1" t="inlineStr">
        <is>
          <t>term</t>
        </is>
      </c>
      <c r="B51" s="1" t="inlineStr">
        <is>
          <t>label</t>
        </is>
      </c>
      <c r="C51" s="1" t="inlineStr">
        <is>
          <t>EF3 (kg N2O-N/kg N)</t>
        </is>
      </c>
      <c r="D51" s="1" t="inlineStr">
        <is>
          <t>MCF tropical%</t>
        </is>
      </c>
      <c r="E51" s="1" t="inlineStr">
        <is>
          <t>MCF temperate%</t>
        </is>
      </c>
    </row>
    <row r="52">
      <c r="A52" s="17" t="inlineStr">
        <is>
          <t>pasture</t>
        </is>
      </c>
      <c r="B52" s="18" t="inlineStr">
        <is>
          <t>Pasture/Paddock/Range</t>
        </is>
      </c>
      <c r="C52" s="18" t="n">
        <v>0.02</v>
      </c>
      <c r="D52" s="18" t="n">
        <v>1.5</v>
      </c>
      <c r="E52" s="18" t="n">
        <v>1</v>
      </c>
    </row>
    <row r="53">
      <c r="A53" s="20" t="inlineStr">
        <is>
          <t>daily_spread</t>
        </is>
      </c>
      <c r="B53" s="19" t="inlineStr">
        <is>
          <t>Daily Spread</t>
        </is>
      </c>
      <c r="C53" s="19" t="n">
        <v>0</v>
      </c>
      <c r="D53" s="19" t="n">
        <v>1</v>
      </c>
      <c r="E53" s="19" t="n">
        <v>0.5</v>
      </c>
    </row>
    <row r="54">
      <c r="A54" s="17" t="inlineStr">
        <is>
          <t>solid_storage</t>
        </is>
      </c>
      <c r="B54" s="18" t="inlineStr">
        <is>
          <t>Solid Storage</t>
        </is>
      </c>
      <c r="C54" s="18" t="n">
        <v>0.005</v>
      </c>
      <c r="D54" s="18" t="n">
        <v>5</v>
      </c>
      <c r="E54" s="18" t="n">
        <v>4</v>
      </c>
    </row>
    <row r="55">
      <c r="A55" s="20" t="inlineStr">
        <is>
          <t>solid_storage_covered</t>
        </is>
      </c>
      <c r="B55" s="19" t="inlineStr">
        <is>
          <t>Solid Storage – Covered/Compacted (2019)</t>
        </is>
      </c>
      <c r="C55" s="19" t="n">
        <v>0.005</v>
      </c>
      <c r="D55" s="19" t="n">
        <v>4</v>
      </c>
      <c r="E55" s="19" t="n">
        <v>2</v>
      </c>
    </row>
    <row r="56">
      <c r="A56" s="17" t="inlineStr">
        <is>
          <t>dry_lot</t>
        </is>
      </c>
      <c r="B56" s="18" t="inlineStr">
        <is>
          <t>Dry Lot</t>
        </is>
      </c>
      <c r="C56" s="18" t="n">
        <v>0.02</v>
      </c>
      <c r="D56" s="18" t="n">
        <v>5</v>
      </c>
      <c r="E56" s="18" t="n">
        <v>1.5</v>
      </c>
    </row>
    <row r="57">
      <c r="A57" s="20" t="inlineStr">
        <is>
          <t>deep_bedding</t>
        </is>
      </c>
      <c r="B57" s="19" t="inlineStr">
        <is>
          <t>Deep Bedding (&gt;1 month)</t>
        </is>
      </c>
      <c r="C57" s="19" t="n">
        <v>0.01</v>
      </c>
      <c r="D57" s="19" t="n">
        <v>30</v>
      </c>
      <c r="E57" s="19" t="n">
        <v>17</v>
      </c>
    </row>
    <row r="58">
      <c r="A58" s="17" t="inlineStr">
        <is>
          <t>liquid_slurry</t>
        </is>
      </c>
      <c r="B58" s="18" t="inlineStr">
        <is>
          <t>Liquid/Slurry</t>
        </is>
      </c>
      <c r="C58" s="18" t="n">
        <v>0.005</v>
      </c>
      <c r="D58" s="18" t="n">
        <v>80</v>
      </c>
      <c r="E58" s="18" t="n">
        <v>35</v>
      </c>
    </row>
    <row r="59">
      <c r="A59" s="20" t="inlineStr">
        <is>
          <t>composting</t>
        </is>
      </c>
      <c r="B59" s="19" t="inlineStr">
        <is>
          <t>Composting</t>
        </is>
      </c>
      <c r="C59" s="19" t="n">
        <v>0.006</v>
      </c>
      <c r="D59" s="19" t="n">
        <v>1.5</v>
      </c>
      <c r="E59" s="19" t="n">
        <v>1</v>
      </c>
    </row>
    <row r="60">
      <c r="A60" s="17" t="inlineStr">
        <is>
          <t>lagoon</t>
        </is>
      </c>
      <c r="B60" s="18" t="inlineStr">
        <is>
          <t>Anaerobic Lagoon</t>
        </is>
      </c>
      <c r="C60" s="18" t="n">
        <v>0</v>
      </c>
      <c r="D60" s="18" t="n">
        <v>80</v>
      </c>
      <c r="E60" s="18" t="n">
        <v>66</v>
      </c>
    </row>
    <row r="61">
      <c r="A61" s="20" t="inlineStr">
        <is>
          <t>anaerobic_digester</t>
        </is>
      </c>
      <c r="B61" s="19" t="inlineStr">
        <is>
          <t>Anaerobic Digester / Biogas (2019)</t>
        </is>
      </c>
      <c r="C61" s="19" t="n">
        <v>0.0005999999999999999</v>
      </c>
      <c r="D61" s="19" t="n">
        <v>3.5</v>
      </c>
      <c r="E61" s="19" t="n">
        <v>1</v>
      </c>
    </row>
    <row r="62">
      <c r="A62" s="17" t="inlineStr">
        <is>
          <t>aerobic_treatment</t>
        </is>
      </c>
      <c r="B62" s="18" t="inlineStr">
        <is>
          <t>Aerobic Treatment (2019)</t>
        </is>
      </c>
      <c r="C62" s="18" t="n">
        <v>0.005</v>
      </c>
      <c r="D62" s="18" t="n">
        <v>0</v>
      </c>
      <c r="E62" s="18" t="n">
        <v>0</v>
      </c>
    </row>
    <row r="63">
      <c r="A63" s="20" t="inlineStr">
        <is>
          <t>burned_for_fuel</t>
        </is>
      </c>
      <c r="B63" s="19" t="inlineStr">
        <is>
          <t>Burned for Fuel (2019)</t>
        </is>
      </c>
      <c r="C63" s="19" t="n">
        <v>0</v>
      </c>
      <c r="D63" s="19" t="n">
        <v>10</v>
      </c>
      <c r="E63" s="19" t="n">
        <v>10</v>
      </c>
    </row>
    <row r="64"/>
    <row r="65" ht="22.05" customHeight="1" s="27">
      <c r="A65" s="28" t="inlineStr">
        <is>
          <t>distribution (Parameters and Manure_Management dropdowns)</t>
        </is>
      </c>
    </row>
    <row r="66">
      <c r="A66" s="1" t="inlineStr">
        <is>
          <t>term</t>
        </is>
      </c>
      <c r="B66" s="1" t="inlineStr">
        <is>
          <t>shape</t>
        </is>
      </c>
      <c r="C66" s="1" t="inlineStr">
        <is>
          <t>when_to_use</t>
        </is>
      </c>
      <c r="D66" s="1" t="inlineStr">
        <is>
          <t>bounds_input</t>
        </is>
      </c>
    </row>
    <row r="67">
      <c r="A67" s="17" t="inlineStr">
        <is>
          <t>normal</t>
        </is>
      </c>
      <c r="B67" s="18" t="inlineStr">
        <is>
          <t>Symmetric bell</t>
        </is>
      </c>
      <c r="C67" s="18" t="inlineStr">
        <is>
          <t>Large populations, body weights, symmetric uncertainty</t>
        </is>
      </c>
      <c r="D67" s="18" t="inlineStr">
        <is>
          <t>uncertainty_pct only</t>
        </is>
      </c>
    </row>
    <row r="68">
      <c r="A68" s="20" t="inlineStr">
        <is>
          <t>posnorm</t>
        </is>
      </c>
      <c r="B68" s="19" t="inlineStr">
        <is>
          <t>Symmetric, truncated at 0</t>
        </is>
      </c>
      <c r="C68" s="19" t="inlineStr">
        <is>
          <t>Non-negative parameters with near-symmetric uncertainty</t>
        </is>
      </c>
      <c r="D68" s="19" t="inlineStr">
        <is>
          <t>uncertainty_pct only</t>
        </is>
      </c>
    </row>
    <row r="69">
      <c r="A69" s="17" t="inlineStr">
        <is>
          <t>lognormal</t>
        </is>
      </c>
      <c r="B69" s="18" t="inlineStr">
        <is>
          <t>Right-skewed, always positive</t>
        </is>
      </c>
      <c r="C69" s="18" t="inlineStr">
        <is>
          <t>Emission factors, ratios — strictly positive, possible right tail</t>
        </is>
      </c>
      <c r="D69" s="18" t="inlineStr">
        <is>
          <t>uncertainty_pct only</t>
        </is>
      </c>
    </row>
    <row r="70">
      <c r="A70" s="20" t="inlineStr">
        <is>
          <t>beta</t>
        </is>
      </c>
      <c r="B70" s="19" t="inlineStr">
        <is>
          <t>Flexible, bounded [lower,upper]</t>
        </is>
      </c>
      <c r="C70" s="19" t="inlineStr">
        <is>
          <t>Fractions 0-1: pct_calving, Cp</t>
        </is>
      </c>
      <c r="D70" s="19" t="inlineStr">
        <is>
          <t>uncertainty_pct only</t>
        </is>
      </c>
    </row>
    <row r="71">
      <c r="A71" s="17" t="inlineStr">
        <is>
          <t>triangular</t>
        </is>
      </c>
      <c r="B71" s="18" t="inlineStr">
        <is>
          <t>Linear triangle</t>
        </is>
      </c>
      <c r="C71" s="18" t="inlineStr">
        <is>
          <t>Expert-elicited min/mode/max: Ca, C_growth, DE_pct</t>
        </is>
      </c>
      <c r="D71" s="18" t="inlineStr">
        <is>
          <t>lower_bound+upper_bound (min/max)</t>
        </is>
      </c>
    </row>
    <row r="72">
      <c r="A72" s="20" t="inlineStr">
        <is>
          <t>pert</t>
        </is>
      </c>
      <c r="B72" s="19" t="inlineStr">
        <is>
          <t>Smooth peak at mode</t>
        </is>
      </c>
      <c r="C72" s="19" t="inlineStr">
        <is>
          <t>IPCC coefficients: Cfi, Ym, Bo, EF3_PRP — recommended for most EFs</t>
        </is>
      </c>
      <c r="D72" s="19" t="inlineStr">
        <is>
          <t>lower_bound+upper_bound (min/max)</t>
        </is>
      </c>
    </row>
    <row r="73">
      <c r="A73" s="17" t="inlineStr">
        <is>
          <t>uniform</t>
        </is>
      </c>
      <c r="B73" s="18" t="inlineStr">
        <is>
          <t>Flat — all values equally likely</t>
        </is>
      </c>
      <c r="C73" s="18" t="inlineStr">
        <is>
          <t>Only bounds known, no preferred value</t>
        </is>
      </c>
      <c r="D73" s="18" t="inlineStr">
        <is>
          <t>lower_bound+upper_bound (min/max)</t>
        </is>
      </c>
    </row>
    <row r="74">
      <c r="A74" s="20" t="inlineStr">
        <is>
          <t>constant</t>
        </is>
      </c>
      <c r="B74" s="19" t="inlineStr">
        <is>
          <t>No variation</t>
        </is>
      </c>
      <c r="C74" s="19" t="inlineStr">
        <is>
          <t>Zero uncertainty, e.g. WG=0 for non-growing adults</t>
        </is>
      </c>
      <c r="D74" s="19" t="inlineStr">
        <is>
          <t>none</t>
        </is>
      </c>
    </row>
    <row r="75">
      <c r="A75" s="17" t="inlineStr">
        <is>
          <t>tnorm_0_1</t>
        </is>
      </c>
      <c r="B75" s="18" t="inlineStr">
        <is>
          <t>Normal clamped to [0,1]</t>
        </is>
      </c>
      <c r="C75" s="18" t="inlineStr">
        <is>
          <t>Fractions that must stay in [0,1]</t>
        </is>
      </c>
      <c r="D75" s="18" t="inlineStr">
        <is>
          <t>uncertainty_pct only</t>
        </is>
      </c>
    </row>
    <row r="76"/>
    <row r="77" ht="22.05" customHeight="1" s="27">
      <c r="A77" s="28" t="inlineStr">
        <is>
          <t>animal sub-category reference — IPCC defaults (for reference only; sub_category is free text in the template)</t>
        </is>
      </c>
    </row>
    <row r="78" ht="27.6" customHeight="1" s="27">
      <c r="A78" s="1" t="inlineStr">
        <is>
          <t>ipcc_term</t>
        </is>
      </c>
      <c r="B78" s="1" t="inlineStr">
        <is>
          <t>label</t>
        </is>
      </c>
      <c r="C78" s="1" t="inlineStr">
        <is>
          <t>sex</t>
        </is>
      </c>
      <c r="D78" s="1" t="inlineStr">
        <is>
          <t>age_class</t>
        </is>
      </c>
      <c r="E78" s="1" t="inlineStr">
        <is>
          <t>default_Cfi</t>
        </is>
      </c>
      <c r="F78" s="1" t="inlineStr">
        <is>
          <t>default_LW_kg</t>
        </is>
      </c>
      <c r="G78" s="1" t="inlineStr">
        <is>
          <t>default_WG_kg_day</t>
        </is>
      </c>
    </row>
    <row r="79">
      <c r="A79" s="17" t="inlineStr">
        <is>
          <t>dairy_cows</t>
        </is>
      </c>
      <c r="B79" s="18" t="inlineStr">
        <is>
          <t>Dairy Cows (mature lactating females)</t>
        </is>
      </c>
      <c r="C79" s="18" t="inlineStr">
        <is>
          <t>female</t>
        </is>
      </c>
      <c r="D79" s="18" t="inlineStr">
        <is>
          <t>adult_&gt;3yr</t>
        </is>
      </c>
      <c r="E79" s="18" t="n">
        <v>0.386</v>
      </c>
      <c r="F79" s="18" t="n">
        <v>275</v>
      </c>
      <c r="G79" s="18" t="n">
        <v>0</v>
      </c>
    </row>
    <row r="80">
      <c r="A80" s="20" t="inlineStr">
        <is>
          <t>other_cows</t>
        </is>
      </c>
      <c r="B80" s="19" t="inlineStr">
        <is>
          <t>Other Cows (mature non-dairy females, inc. dry)</t>
        </is>
      </c>
      <c r="C80" s="19" t="inlineStr">
        <is>
          <t>female</t>
        </is>
      </c>
      <c r="D80" s="19" t="inlineStr">
        <is>
          <t>adult_&gt;3yr</t>
        </is>
      </c>
      <c r="E80" s="19" t="n">
        <v>0.322</v>
      </c>
      <c r="F80" s="19" t="n">
        <v>275</v>
      </c>
      <c r="G80" s="19" t="n">
        <v>0</v>
      </c>
    </row>
    <row r="81">
      <c r="A81" s="17" t="inlineStr">
        <is>
          <t>bulls</t>
        </is>
      </c>
      <c r="B81" s="18" t="inlineStr">
        <is>
          <t>Bulls (mature intact males, breeding)</t>
        </is>
      </c>
      <c r="C81" s="18" t="inlineStr">
        <is>
          <t>male</t>
        </is>
      </c>
      <c r="D81" s="18" t="inlineStr">
        <is>
          <t>adult_&gt;3yr</t>
        </is>
      </c>
      <c r="E81" s="18" t="n">
        <v>0.37</v>
      </c>
      <c r="F81" s="18" t="n">
        <v>350</v>
      </c>
      <c r="G81" s="18" t="n">
        <v>0</v>
      </c>
    </row>
    <row r="82">
      <c r="A82" s="20" t="inlineStr">
        <is>
          <t>oxen</t>
        </is>
      </c>
      <c r="B82" s="19" t="inlineStr">
        <is>
          <t>Oxen (mature castrated males, draft)</t>
        </is>
      </c>
      <c r="C82" s="19" t="inlineStr">
        <is>
          <t>male</t>
        </is>
      </c>
      <c r="D82" s="19" t="inlineStr">
        <is>
          <t>adult_&gt;3yr</t>
        </is>
      </c>
      <c r="E82" s="19" t="n">
        <v>0.322</v>
      </c>
      <c r="F82" s="19" t="n">
        <v>300</v>
      </c>
      <c r="G82" s="19" t="n">
        <v>0</v>
      </c>
    </row>
    <row r="83">
      <c r="A83" s="17" t="inlineStr">
        <is>
          <t>heifers</t>
        </is>
      </c>
      <c r="B83" s="18" t="inlineStr">
        <is>
          <t>Heifers (young females 1-3yr, not yet calved)</t>
        </is>
      </c>
      <c r="C83" s="18" t="inlineStr">
        <is>
          <t>female</t>
        </is>
      </c>
      <c r="D83" s="18" t="inlineStr">
        <is>
          <t>young_1-3yr</t>
        </is>
      </c>
      <c r="E83" s="18" t="n">
        <v>0.322</v>
      </c>
      <c r="F83" s="18" t="n">
        <v>200</v>
      </c>
      <c r="G83" s="18" t="n">
        <v>0.25</v>
      </c>
    </row>
    <row r="84">
      <c r="A84" s="20" t="inlineStr">
        <is>
          <t>growing_males</t>
        </is>
      </c>
      <c r="B84" s="19" t="inlineStr">
        <is>
          <t>Growing Males (young males 1-3yr, steers/bulls)</t>
        </is>
      </c>
      <c r="C84" s="19" t="inlineStr">
        <is>
          <t>male</t>
        </is>
      </c>
      <c r="D84" s="19" t="inlineStr">
        <is>
          <t>young_1-3yr</t>
        </is>
      </c>
      <c r="E84" s="19" t="n">
        <v>0.37</v>
      </c>
      <c r="F84" s="19" t="n">
        <v>200</v>
      </c>
      <c r="G84" s="19" t="n">
        <v>0.2</v>
      </c>
    </row>
    <row r="85">
      <c r="A85" s="17" t="inlineStr">
        <is>
          <t>calves_female</t>
        </is>
      </c>
      <c r="B85" s="18" t="inlineStr">
        <is>
          <t>Calves - Female (&lt;1yr)</t>
        </is>
      </c>
      <c r="C85" s="18" t="inlineStr">
        <is>
          <t>female</t>
        </is>
      </c>
      <c r="D85" s="18" t="inlineStr">
        <is>
          <t>calf_&lt;1yr</t>
        </is>
      </c>
      <c r="E85" s="18" t="n">
        <v>0.322</v>
      </c>
      <c r="F85" s="18" t="n">
        <v>60</v>
      </c>
      <c r="G85" s="18" t="n">
        <v>0.3</v>
      </c>
    </row>
    <row r="86">
      <c r="A86" s="20" t="inlineStr">
        <is>
          <t>calves_male</t>
        </is>
      </c>
      <c r="B86" s="19" t="inlineStr">
        <is>
          <t>Calves - Male (&lt;1yr)</t>
        </is>
      </c>
      <c r="C86" s="19" t="inlineStr">
        <is>
          <t>male</t>
        </is>
      </c>
      <c r="D86" s="19" t="inlineStr">
        <is>
          <t>calf_&lt;1yr</t>
        </is>
      </c>
      <c r="E86" s="19" t="n">
        <v>0.37</v>
      </c>
      <c r="F86" s="19" t="n">
        <v>60</v>
      </c>
      <c r="G86" s="19" t="n">
        <v>0.3</v>
      </c>
    </row>
    <row r="87">
      <c r="A87" s="17" t="inlineStr">
        <is>
          <t>feedlot_cattle</t>
        </is>
      </c>
      <c r="B87" s="18" t="inlineStr">
        <is>
          <t>Feedlot Cattle (concentrated feeding)</t>
        </is>
      </c>
      <c r="C87" s="18" t="inlineStr">
        <is>
          <t>mixed</t>
        </is>
      </c>
      <c r="D87" s="18" t="inlineStr">
        <is>
          <t>young_1-3yr</t>
        </is>
      </c>
      <c r="E87" s="18" t="n">
        <v>0.37</v>
      </c>
      <c r="F87" s="18" t="n">
        <v>250</v>
      </c>
      <c r="G87" s="18" t="n">
        <v>1</v>
      </c>
    </row>
    <row r="88"/>
    <row r="89" ht="22.05" customHeight="1" s="27">
      <c r="A89" s="28" t="inlineStr">
        <is>
          <t>feeding_situation reference — Ca values (for reference only; feeding situation is captured in sub_category free text)</t>
        </is>
      </c>
    </row>
    <row r="90" ht="27.6" customHeight="1" s="27">
      <c r="A90" s="1" t="inlineStr">
        <is>
          <t>term</t>
        </is>
      </c>
      <c r="B90" s="1" t="inlineStr">
        <is>
          <t>description</t>
        </is>
      </c>
      <c r="C90" s="1" t="inlineStr">
        <is>
          <t>Ca value (IPCC Table 10.5)</t>
        </is>
      </c>
    </row>
    <row r="91">
      <c r="A91" s="17" t="inlineStr">
        <is>
          <t>stall_fed</t>
        </is>
      </c>
      <c r="B91" s="18" t="inlineStr">
        <is>
          <t>Animal is stall-fed or kept in enclosure</t>
        </is>
      </c>
      <c r="C91" s="18" t="n">
        <v>0</v>
      </c>
    </row>
    <row r="92">
      <c r="A92" s="20" t="inlineStr">
        <is>
          <t>pasture_flat</t>
        </is>
      </c>
      <c r="B92" s="19" t="inlineStr">
        <is>
          <t>Animal grazes on flat terrain</t>
        </is>
      </c>
      <c r="C92" s="19" t="n">
        <v>0.17</v>
      </c>
    </row>
    <row r="93">
      <c r="A93" s="17" t="inlineStr">
        <is>
          <t>pasture_hilly</t>
        </is>
      </c>
      <c r="B93" s="18" t="inlineStr">
        <is>
          <t>Animal grazes on hilly terrain</t>
        </is>
      </c>
      <c r="C93" s="18" t="n">
        <v>0.36</v>
      </c>
    </row>
  </sheetData>
  <mergeCells count="8">
    <mergeCell ref="A50:H50"/>
    <mergeCell ref="A77:H77"/>
    <mergeCell ref="A35:H35"/>
    <mergeCell ref="A29:H29"/>
    <mergeCell ref="A65:H65"/>
    <mergeCell ref="A28:H28"/>
    <mergeCell ref="A1:H1"/>
    <mergeCell ref="A89:H89"/>
  </mergeCells>
  <pageMargins left="0.7" right="0.7" top="0.75" bottom="0.75" header="0.3" footer="0.3"/>
  <pageSetup orientation="portrait" paperSize="9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AA32E7549EE6449AC68337FF671C5A" ma:contentTypeVersion="12" ma:contentTypeDescription="Create a new document." ma:contentTypeScope="" ma:versionID="5b725368af9e92254b31af2044252fac">
  <xsd:schema xmlns:xsd="http://www.w3.org/2001/XMLSchema" xmlns:xs="http://www.w3.org/2001/XMLSchema" xmlns:p="http://schemas.microsoft.com/office/2006/metadata/properties" xmlns:ns2="03e19825-731a-404b-84c3-310fff85d1a8" xmlns:ns3="a675dd88-c1ff-478a-b60f-ff004313760b" targetNamespace="http://schemas.microsoft.com/office/2006/metadata/properties" ma:root="true" ma:fieldsID="de1faf0135fd982ba30b50c3b754e7cb" ns2:_="" ns3:_="">
    <xsd:import namespace="03e19825-731a-404b-84c3-310fff85d1a8"/>
    <xsd:import namespace="a675dd88-c1ff-478a-b60f-ff00431376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e19825-731a-404b-84c3-310fff85d1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5dd88-c1ff-478a-b60f-ff004313760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ee70d54-65c2-44e4-aa1e-ee2a67be174e}" ma:internalName="TaxCatchAll" ma:showField="CatchAllData" ma:web="a675dd88-c1ff-478a-b60f-ff00431376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e19825-731a-404b-84c3-310fff85d1a8">
      <Terms xmlns="http://schemas.microsoft.com/office/infopath/2007/PartnerControls"/>
    </lcf76f155ced4ddcb4097134ff3c332f>
    <TaxCatchAll xmlns="a675dd88-c1ff-478a-b60f-ff004313760b" xsi:nil="true"/>
  </documentManagement>
</p:properties>
</file>

<file path=customXml/itemProps1.xml><?xml version="1.0" encoding="utf-8"?>
<ds:datastoreItem xmlns:ds="http://schemas.openxmlformats.org/officeDocument/2006/customXml" ds:itemID="{F1EFF87C-D9F3-471B-84D3-2FFECE5A359F}"/>
</file>

<file path=customXml/itemProps2.xml><?xml version="1.0" encoding="utf-8"?>
<ds:datastoreItem xmlns:ds="http://schemas.openxmlformats.org/officeDocument/2006/customXml" ds:itemID="{B7F81591-7447-41C6-8BBF-3D8CEF7A30EF}"/>
</file>

<file path=customXml/itemProps3.xml><?xml version="1.0" encoding="utf-8"?>
<ds:datastoreItem xmlns:ds="http://schemas.openxmlformats.org/officeDocument/2006/customXml" ds:itemID="{2B96DDB4-7A00-49BB-8C8B-04AC9E48CE8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</dc:creator>
  <cp:lastModifiedBy>Author</cp:lastModifiedBy>
  <dcterms:created xsi:type="dcterms:W3CDTF">2026-05-14T12:42:42Z</dcterms:created>
  <dcterms:modified xsi:type="dcterms:W3CDTF">2026-05-20T13:29:57Z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0x0101006AAA32E7549EE6449AC68337FF671C5A</vt:lpwstr>
  </property>
</Properties>
</file>